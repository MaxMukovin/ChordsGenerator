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G:\Мой диск\"/>
    </mc:Choice>
  </mc:AlternateContent>
  <xr:revisionPtr revIDLastSave="0" documentId="13_ncr:1_{86754C16-1F5A-45B3-B03B-4E5925F99F21}" xr6:coauthVersionLast="47" xr6:coauthVersionMax="47" xr10:uidLastSave="{00000000-0000-0000-0000-000000000000}"/>
  <bookViews>
    <workbookView xWindow="0" yWindow="0" windowWidth="23040" windowHeight="12960" xr2:uid="{00000000-000D-0000-FFFF-FFFF00000000}"/>
  </bookViews>
  <sheets>
    <sheet name="ChordsGenerator" sheetId="5" r:id="rId1"/>
    <sheet name="DATA" sheetId="7" r:id="rId2"/>
  </sheets>
  <definedNames>
    <definedName name="_xlnm._FilterDatabase" localSheetId="0" hidden="1">ChordsGenerator!$C$5:$E$6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5" l="1"/>
  <c r="C5" i="5" s="1"/>
  <c r="AZ6" i="5" l="1"/>
  <c r="Y7" i="5"/>
  <c r="AM7" i="5"/>
  <c r="R7" i="5"/>
  <c r="R6" i="5" s="1"/>
  <c r="T7" i="5"/>
  <c r="AZ8" i="5"/>
  <c r="AI8" i="5"/>
  <c r="AP7" i="5"/>
  <c r="V7" i="5"/>
  <c r="BB7" i="5"/>
  <c r="C7" i="5"/>
  <c r="J7" i="5" l="1"/>
  <c r="J6" i="5" s="1"/>
  <c r="L7" i="5"/>
  <c r="L6" i="5" s="1"/>
  <c r="E7" i="5"/>
  <c r="H7" i="5"/>
  <c r="J8" i="5" l="1"/>
  <c r="L8" i="5"/>
  <c r="H8" i="5"/>
  <c r="H6" i="5"/>
  <c r="E6" i="5"/>
  <c r="E8" i="5"/>
</calcChain>
</file>

<file path=xl/sharedStrings.xml><?xml version="1.0" encoding="utf-8"?>
<sst xmlns="http://schemas.openxmlformats.org/spreadsheetml/2006/main" count="247" uniqueCount="53">
  <si>
    <t>Прима</t>
  </si>
  <si>
    <t>Кварта</t>
  </si>
  <si>
    <t>Квинта</t>
  </si>
  <si>
    <t>Октава</t>
  </si>
  <si>
    <t>Большая секунда</t>
  </si>
  <si>
    <t>Малая секста</t>
  </si>
  <si>
    <t>Большая секста</t>
  </si>
  <si>
    <t>Малая септима</t>
  </si>
  <si>
    <t>Большая септима</t>
  </si>
  <si>
    <t>C#</t>
  </si>
  <si>
    <t>D</t>
  </si>
  <si>
    <t>D#</t>
  </si>
  <si>
    <t>E</t>
  </si>
  <si>
    <t>F</t>
  </si>
  <si>
    <t>G</t>
  </si>
  <si>
    <t>F#</t>
  </si>
  <si>
    <t>G#</t>
  </si>
  <si>
    <t>A</t>
  </si>
  <si>
    <t>A#</t>
  </si>
  <si>
    <t>B</t>
  </si>
  <si>
    <t>Тритон</t>
  </si>
  <si>
    <t>С</t>
  </si>
  <si>
    <t>Малая терция</t>
  </si>
  <si>
    <t>Большая терция</t>
  </si>
  <si>
    <t>Малая секунда</t>
  </si>
  <si>
    <t>C</t>
  </si>
  <si>
    <t>ч1</t>
  </si>
  <si>
    <t>м2</t>
  </si>
  <si>
    <t>б2</t>
  </si>
  <si>
    <t>м3</t>
  </si>
  <si>
    <t>б3</t>
  </si>
  <si>
    <t>ч4</t>
  </si>
  <si>
    <t>ч5</t>
  </si>
  <si>
    <t>м6</t>
  </si>
  <si>
    <t>б7</t>
  </si>
  <si>
    <t>б6</t>
  </si>
  <si>
    <t>м7</t>
  </si>
  <si>
    <t>ч8</t>
  </si>
  <si>
    <t>Совершенный консонанс</t>
  </si>
  <si>
    <t>Несовершенный консонанс</t>
  </si>
  <si>
    <t>Диссонанс</t>
  </si>
  <si>
    <t>ув 4/ум 5</t>
  </si>
  <si>
    <t>❺</t>
  </si>
  <si>
    <t>❼</t>
  </si>
  <si>
    <t>❾</t>
  </si>
  <si>
    <t>⓬</t>
  </si>
  <si>
    <t>⓯</t>
  </si>
  <si>
    <t>❸</t>
  </si>
  <si>
    <t>⓱</t>
  </si>
  <si>
    <t>⓿</t>
  </si>
  <si>
    <t>⓳</t>
  </si>
  <si>
    <t>Piano</t>
  </si>
  <si>
    <t>Guitar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</si>
</sst>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0" tint="-0.14999847407452621"/>
      <name val="Calibri"/>
      <family val="2"/>
    </font>
    <font>
      <sz val="8"/>
      <color theme="0" tint="-0.14999847407452621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1" tint="0.1499984740745262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8" borderId="0" xfId="0" applyFill="1" applyProtection="1"/>
    <xf numFmtId="0" fontId="0" fillId="2" borderId="0" xfId="0" applyFill="1" applyProtection="1"/>
    <xf numFmtId="0" fontId="0" fillId="8" borderId="0" xfId="0" applyFill="1" applyBorder="1" applyProtection="1"/>
    <xf numFmtId="0" fontId="4" fillId="8" borderId="0" xfId="0" applyFont="1" applyFill="1" applyBorder="1" applyProtection="1"/>
    <xf numFmtId="0" fontId="7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/>
    <xf numFmtId="0" fontId="9" fillId="2" borderId="0" xfId="0" applyFont="1" applyFill="1" applyProtection="1"/>
    <xf numFmtId="0" fontId="8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vertical="center"/>
    </xf>
    <xf numFmtId="0" fontId="3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8" borderId="0" xfId="0" applyFill="1" applyProtection="1"/>
    <xf numFmtId="0" fontId="0" fillId="2" borderId="0" xfId="0" applyFill="1" applyBorder="1" applyProtection="1"/>
    <xf numFmtId="49" fontId="1" fillId="4" borderId="0" xfId="0" applyNumberFormat="1" applyFont="1" applyFill="1" applyBorder="1" applyAlignment="1" applyProtection="1">
      <alignment horizontal="center" vertical="center"/>
    </xf>
    <xf numFmtId="49" fontId="2" fillId="6" borderId="0" xfId="0" applyNumberFormat="1" applyFont="1" applyFill="1" applyBorder="1" applyAlignment="1" applyProtection="1">
      <alignment horizontal="center" vertical="center"/>
    </xf>
    <xf numFmtId="49" fontId="1" fillId="5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" borderId="15" xfId="0" applyFill="1" applyBorder="1" applyProtection="1"/>
    <xf numFmtId="0" fontId="0" fillId="2" borderId="17" xfId="0" applyFill="1" applyBorder="1" applyProtection="1"/>
    <xf numFmtId="0" fontId="11" fillId="2" borderId="14" xfId="0" applyFont="1" applyFill="1" applyBorder="1" applyProtection="1"/>
    <xf numFmtId="0" fontId="11" fillId="2" borderId="15" xfId="0" applyFont="1" applyFill="1" applyBorder="1" applyProtection="1"/>
    <xf numFmtId="0" fontId="11" fillId="2" borderId="11" xfId="0" applyFont="1" applyFill="1" applyBorder="1" applyAlignment="1" applyProtection="1">
      <alignment horizontal="center"/>
    </xf>
    <xf numFmtId="0" fontId="11" fillId="2" borderId="12" xfId="0" applyFont="1" applyFill="1" applyBorder="1" applyAlignment="1" applyProtection="1">
      <alignment horizontal="center"/>
    </xf>
    <xf numFmtId="0" fontId="11" fillId="2" borderId="11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center"/>
    </xf>
    <xf numFmtId="0" fontId="11" fillId="2" borderId="0" xfId="0" applyFont="1" applyFill="1" applyBorder="1" applyAlignment="1" applyProtection="1">
      <alignment horizontal="center"/>
    </xf>
    <xf numFmtId="0" fontId="11" fillId="2" borderId="16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9" xfId="0" applyFont="1" applyFill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9" fillId="2" borderId="6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0" fontId="5" fillId="7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right"/>
    </xf>
    <xf numFmtId="0" fontId="5" fillId="2" borderId="0" xfId="0" applyNumberFormat="1" applyFont="1" applyFill="1" applyBorder="1" applyAlignment="1" applyProtection="1">
      <alignment horizontal="center"/>
    </xf>
    <xf numFmtId="0" fontId="4" fillId="3" borderId="19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12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 vertical="center"/>
    </xf>
    <xf numFmtId="0" fontId="0" fillId="2" borderId="4" xfId="0" applyFill="1" applyBorder="1" applyAlignment="1" applyProtection="1">
      <alignment horizontal="center"/>
    </xf>
    <xf numFmtId="0" fontId="0" fillId="2" borderId="5" xfId="0" applyFill="1" applyBorder="1" applyAlignment="1" applyProtection="1">
      <alignment horizontal="center"/>
    </xf>
    <xf numFmtId="0" fontId="10" fillId="3" borderId="1" xfId="0" applyFont="1" applyFill="1" applyBorder="1" applyAlignment="1" applyProtection="1">
      <alignment horizontal="left" vertical="top"/>
    </xf>
    <xf numFmtId="0" fontId="10" fillId="3" borderId="2" xfId="0" applyFont="1" applyFill="1" applyBorder="1" applyAlignment="1" applyProtection="1">
      <alignment horizontal="left" vertical="top"/>
    </xf>
    <xf numFmtId="0" fontId="1" fillId="2" borderId="10" xfId="0" applyFont="1" applyFill="1" applyBorder="1" applyAlignment="1" applyProtection="1">
      <alignment horizontal="center" vertical="center"/>
    </xf>
    <xf numFmtId="0" fontId="9" fillId="2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center"/>
    </xf>
    <xf numFmtId="0" fontId="5" fillId="2" borderId="0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8" fillId="2" borderId="6" xfId="0" applyFont="1" applyFill="1" applyBorder="1" applyAlignment="1" applyProtection="1">
      <alignment horizontal="center"/>
    </xf>
    <xf numFmtId="0" fontId="9" fillId="2" borderId="6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center" vertical="center"/>
    </xf>
    <xf numFmtId="0" fontId="6" fillId="7" borderId="0" xfId="0" applyNumberFormat="1" applyFont="1" applyFill="1" applyBorder="1" applyAlignment="1" applyProtection="1">
      <alignment horizontal="center"/>
    </xf>
    <xf numFmtId="0" fontId="5" fillId="7" borderId="0" xfId="0" quotePrefix="1" applyNumberFormat="1" applyFont="1" applyFill="1" applyBorder="1" applyAlignment="1" applyProtection="1">
      <alignment horizontal="center"/>
    </xf>
    <xf numFmtId="0" fontId="4" fillId="7" borderId="0" xfId="0" applyNumberFormat="1" applyFont="1" applyFill="1" applyBorder="1" applyAlignment="1" applyProtection="1">
      <alignment horizontal="center"/>
    </xf>
    <xf numFmtId="0" fontId="1" fillId="4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vertical="center"/>
    </xf>
  </cellXfs>
  <cellStyles count="1">
    <cellStyle name="Обычный" xfId="0" builtinId="0"/>
  </cellStyles>
  <dxfs count="7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4" tint="0.79998168889431442"/>
        </patternFill>
      </fill>
    </dxf>
    <dxf>
      <fill>
        <patternFill>
          <bgColor rgb="FF7030A0"/>
        </patternFill>
      </fill>
    </dxf>
    <dxf>
      <fill>
        <patternFill patternType="solid">
          <fgColor auto="1"/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99060</xdr:colOff>
          <xdr:row>3</xdr:row>
          <xdr:rowOff>106680</xdr:rowOff>
        </xdr:to>
        <xdr:sp macro="" textlink="">
          <xdr:nvSpPr>
            <xdr:cNvPr id="1049" name="CommandButton1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99060</xdr:colOff>
          <xdr:row>3</xdr:row>
          <xdr:rowOff>106680</xdr:rowOff>
        </xdr:to>
        <xdr:sp macro="" textlink="">
          <xdr:nvSpPr>
            <xdr:cNvPr id="1050" name="CommandButton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175260</xdr:colOff>
          <xdr:row>3</xdr:row>
          <xdr:rowOff>106680</xdr:rowOff>
        </xdr:to>
        <xdr:sp macro="" textlink="">
          <xdr:nvSpPr>
            <xdr:cNvPr id="1051" name="CommandButton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99060</xdr:colOff>
          <xdr:row>3</xdr:row>
          <xdr:rowOff>106680</xdr:rowOff>
        </xdr:to>
        <xdr:sp macro="" textlink="">
          <xdr:nvSpPr>
            <xdr:cNvPr id="1052" name="CommandButton4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13</xdr:col>
          <xdr:colOff>99060</xdr:colOff>
          <xdr:row>3</xdr:row>
          <xdr:rowOff>106680</xdr:rowOff>
        </xdr:to>
        <xdr:sp macro="" textlink="">
          <xdr:nvSpPr>
            <xdr:cNvPr id="1053" name="CommandButton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</xdr:row>
          <xdr:rowOff>0</xdr:rowOff>
        </xdr:from>
        <xdr:to>
          <xdr:col>16</xdr:col>
          <xdr:colOff>99060</xdr:colOff>
          <xdr:row>3</xdr:row>
          <xdr:rowOff>106680</xdr:rowOff>
        </xdr:to>
        <xdr:sp macro="" textlink="">
          <xdr:nvSpPr>
            <xdr:cNvPr id="1054" name="CommandButton6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</xdr:row>
          <xdr:rowOff>0</xdr:rowOff>
        </xdr:from>
        <xdr:to>
          <xdr:col>18</xdr:col>
          <xdr:colOff>175260</xdr:colOff>
          <xdr:row>3</xdr:row>
          <xdr:rowOff>106680</xdr:rowOff>
        </xdr:to>
        <xdr:sp macro="" textlink="">
          <xdr:nvSpPr>
            <xdr:cNvPr id="1055" name="CommandButton7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68580</xdr:colOff>
          <xdr:row>2</xdr:row>
          <xdr:rowOff>0</xdr:rowOff>
        </xdr:from>
        <xdr:to>
          <xdr:col>21</xdr:col>
          <xdr:colOff>53341</xdr:colOff>
          <xdr:row>3</xdr:row>
          <xdr:rowOff>106680</xdr:rowOff>
        </xdr:to>
        <xdr:sp macro="" textlink="">
          <xdr:nvSpPr>
            <xdr:cNvPr id="1064" name="CommandButton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2</xdr:row>
          <xdr:rowOff>0</xdr:rowOff>
        </xdr:from>
        <xdr:to>
          <xdr:col>26</xdr:col>
          <xdr:colOff>53340</xdr:colOff>
          <xdr:row>3</xdr:row>
          <xdr:rowOff>106680</xdr:rowOff>
        </xdr:to>
        <xdr:sp macro="" textlink="">
          <xdr:nvSpPr>
            <xdr:cNvPr id="1075" name="CommandButton9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</xdr:colOff>
          <xdr:row>2</xdr:row>
          <xdr:rowOff>0</xdr:rowOff>
        </xdr:from>
        <xdr:to>
          <xdr:col>28</xdr:col>
          <xdr:colOff>53340</xdr:colOff>
          <xdr:row>3</xdr:row>
          <xdr:rowOff>106680</xdr:rowOff>
        </xdr:to>
        <xdr:sp macro="" textlink="">
          <xdr:nvSpPr>
            <xdr:cNvPr id="1076" name="CommandButton10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68580</xdr:colOff>
          <xdr:row>2</xdr:row>
          <xdr:rowOff>0</xdr:rowOff>
        </xdr:from>
        <xdr:to>
          <xdr:col>32</xdr:col>
          <xdr:colOff>45720</xdr:colOff>
          <xdr:row>3</xdr:row>
          <xdr:rowOff>106680</xdr:rowOff>
        </xdr:to>
        <xdr:sp macro="" textlink="">
          <xdr:nvSpPr>
            <xdr:cNvPr id="1077" name="CommandButton11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806A-D87F-433C-8D38-008B69745999}">
  <sheetPr codeName="Лист2"/>
  <dimension ref="A1:BC39"/>
  <sheetViews>
    <sheetView tabSelected="1" topLeftCell="A2" zoomScale="152" zoomScaleNormal="190" workbookViewId="0">
      <selection activeCell="T19" sqref="T19:AB24"/>
    </sheetView>
  </sheetViews>
  <sheetFormatPr defaultColWidth="0" defaultRowHeight="14.4" zeroHeight="1" x14ac:dyDescent="0.3"/>
  <cols>
    <col min="1" max="1" width="21" style="1" customWidth="1"/>
    <col min="2" max="2" width="4.44140625" style="2" customWidth="1"/>
    <col min="3" max="3" width="2.77734375" style="2" customWidth="1"/>
    <col min="4" max="5" width="1.6640625" style="2" customWidth="1"/>
    <col min="6" max="6" width="1.109375" style="2" customWidth="1"/>
    <col min="7" max="8" width="1.6640625" style="2" customWidth="1"/>
    <col min="9" max="10" width="2.77734375" style="2" customWidth="1"/>
    <col min="11" max="12" width="1.6640625" style="2" customWidth="1"/>
    <col min="13" max="13" width="1.109375" style="2" customWidth="1"/>
    <col min="14" max="15" width="1.6640625" style="2" customWidth="1"/>
    <col min="16" max="16" width="1.109375" style="2" customWidth="1"/>
    <col min="17" max="18" width="1.6640625" style="2" customWidth="1"/>
    <col min="19" max="20" width="2.77734375" style="2" customWidth="1"/>
    <col min="21" max="22" width="1.6640625" style="2" customWidth="1"/>
    <col min="23" max="23" width="1.109375" style="2" customWidth="1"/>
    <col min="24" max="25" width="1.6640625" style="2" customWidth="1"/>
    <col min="26" max="27" width="2.77734375" style="2" customWidth="1"/>
    <col min="28" max="29" width="1.6640625" style="2" customWidth="1"/>
    <col min="30" max="30" width="1.109375" style="2" customWidth="1"/>
    <col min="31" max="32" width="1.6640625" style="2" customWidth="1"/>
    <col min="33" max="33" width="1.109375" style="2" customWidth="1"/>
    <col min="34" max="35" width="1.6640625" style="2" customWidth="1"/>
    <col min="36" max="37" width="2.77734375" style="2" customWidth="1"/>
    <col min="38" max="39" width="1.6640625" style="2" customWidth="1"/>
    <col min="40" max="40" width="1.109375" style="2" customWidth="1"/>
    <col min="41" max="42" width="1.6640625" style="2" customWidth="1"/>
    <col min="43" max="44" width="2.77734375" style="2" customWidth="1"/>
    <col min="45" max="46" width="1.6640625" style="2" customWidth="1"/>
    <col min="47" max="47" width="1.109375" style="2" customWidth="1"/>
    <col min="48" max="49" width="1.6640625" style="2" customWidth="1"/>
    <col min="50" max="50" width="1.109375" style="2" customWidth="1"/>
    <col min="51" max="52" width="1.6640625" style="2" customWidth="1"/>
    <col min="53" max="53" width="2.77734375" style="2" customWidth="1"/>
    <col min="54" max="54" width="4.44140625" style="2" customWidth="1"/>
    <col min="55" max="16384" width="8.88671875" style="2" hidden="1"/>
  </cols>
  <sheetData>
    <row r="1" spans="2:55" s="1" customFormat="1" x14ac:dyDescent="0.3"/>
    <row r="2" spans="2:55" s="15" customFormat="1" x14ac:dyDescent="0.3">
      <c r="B2" s="23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7"/>
      <c r="U2" s="27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6"/>
    </row>
    <row r="3" spans="2:55" s="15" customFormat="1" x14ac:dyDescent="0.3">
      <c r="B3" s="24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42"/>
      <c r="U3" s="42"/>
      <c r="V3" s="29"/>
      <c r="W3" s="29"/>
      <c r="X3" s="29"/>
      <c r="Y3" s="29"/>
      <c r="Z3" s="29"/>
      <c r="AA3" s="29">
        <v>7</v>
      </c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30"/>
    </row>
    <row r="4" spans="2:55" s="15" customFormat="1" x14ac:dyDescent="0.3">
      <c r="B4" s="24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30"/>
    </row>
    <row r="5" spans="2:55" x14ac:dyDescent="0.3">
      <c r="B5" s="21"/>
      <c r="C5" s="60" t="str">
        <f>_xlfn.CONCAT(C6,Y3,AA3,AC3)</f>
        <v>G7</v>
      </c>
      <c r="D5" s="60"/>
      <c r="E5" s="60"/>
      <c r="F5" s="60"/>
      <c r="G5" s="60"/>
      <c r="H5" s="61"/>
      <c r="I5" s="61"/>
      <c r="J5" s="61"/>
      <c r="K5" s="61"/>
      <c r="L5" s="62"/>
      <c r="M5" s="62"/>
      <c r="N5" s="62"/>
      <c r="O5" s="62"/>
      <c r="P5" s="62"/>
      <c r="Q5" s="62"/>
      <c r="R5" s="62"/>
      <c r="S5" s="62"/>
      <c r="T5" s="62"/>
      <c r="U5" s="62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2"/>
    </row>
    <row r="6" spans="2:55" x14ac:dyDescent="0.3">
      <c r="B6" s="21"/>
      <c r="C6" s="43" t="str">
        <f>_xlfn.CONCAT("G",T3)</f>
        <v>G</v>
      </c>
      <c r="D6" s="43"/>
      <c r="E6" s="43" t="str">
        <f>VLOOKUP(E7,CHOOSE({1,2},DATA!$B$1:$B$13,DATA!$A$1:$A$13),2,FALSE)</f>
        <v>D</v>
      </c>
      <c r="F6" s="43"/>
      <c r="G6" s="43"/>
      <c r="H6" s="43" t="str">
        <f>VLOOKUP(H7,CHOOSE({1,2},DATA!$B$1:$B$13,DATA!$A$1:$A$13),2,FALSE)</f>
        <v>B</v>
      </c>
      <c r="I6" s="43"/>
      <c r="J6" s="43" t="str">
        <f>IFERROR(VLOOKUP(J7,CHOOSE({1,2},DATA!$B$1:$B$13,DATA!$A$1:$A$13),2,FALSE),"")</f>
        <v>F</v>
      </c>
      <c r="K6" s="43"/>
      <c r="L6" s="43" t="str">
        <f>IFERROR(VLOOKUP(L7,CHOOSE({1,2},DATA!$B$1:$B$13,DATA!$A$1:$A$13),2,FALSE),"")</f>
        <v/>
      </c>
      <c r="M6" s="43"/>
      <c r="N6" s="43"/>
      <c r="O6" s="43"/>
      <c r="P6" s="43"/>
      <c r="Q6" s="43"/>
      <c r="R6" s="43" t="str">
        <f>IFERROR(VLOOKUP(IF(VLOOKUP(S7,DATA!$A$1:$B$13,2,FALSE)-VLOOKUP(R7,DATA!$A$1:$B$13,2,FALSE)&lt;0,VLOOKUP(S7,DATA!$A$1:$B$13,2,FALSE)-VLOOKUP(R7,DATA!$A$1:$B$13,2,FALSE)+12,VLOOKUP(S7,DATA!$A$1:$B$13,2,FALSE)-VLOOKUP(R7,DATA!$A$1:$B$13,2,FALSE)),DATA!$B$1:$C$13,2,FALSE),"")</f>
        <v/>
      </c>
      <c r="S6" s="43"/>
      <c r="T6" s="43"/>
      <c r="U6" s="43"/>
      <c r="V6" s="55"/>
      <c r="W6" s="55"/>
      <c r="X6" s="55"/>
      <c r="Y6" s="55"/>
      <c r="Z6" s="55"/>
      <c r="AA6" s="55"/>
      <c r="AB6" s="55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 t="str">
        <f>IFERROR(VLOOKUP(IF(VLOOKUP(BA7,DATA!$A$1:$B$13,2,FALSE)-VLOOKUP(AZ7,DATA!$A$1:$B$13,2,FALSE)&lt;0,VLOOKUP(BA7,DATA!$A$1:$B$13,2,FALSE)-VLOOKUP(AZ7,DATA!$A$1:$B$13,2,FALSE)+12,VLOOKUP(BA7,DATA!$A$1:$B$13,2,FALSE)-VLOOKUP(AZ7,DATA!$A$1:$B$13,2,FALSE)),DATA!$B$1:$C$13,2,FALSE),"")</f>
        <v/>
      </c>
      <c r="BA6" s="31"/>
      <c r="BB6" s="31"/>
      <c r="BC6" s="32"/>
    </row>
    <row r="7" spans="2:55" x14ac:dyDescent="0.3">
      <c r="B7" s="21"/>
      <c r="C7" s="43">
        <f>VLOOKUP(C6,DATA!A1:B13,2,FALSE)</f>
        <v>7</v>
      </c>
      <c r="D7" s="43"/>
      <c r="E7" s="43">
        <f>IF(($C$7+7)&gt;=12,$C$7+7-12,$C$7+7)</f>
        <v>2</v>
      </c>
      <c r="F7" s="43"/>
      <c r="G7" s="43"/>
      <c r="H7" s="43">
        <f>IF(Y3="m",IF(($C$7+3)&gt;=12,$C$7+3-12,$C$7+3),IF(($C$7+4)&gt;=12,$C$7+4-12,$C$7+4))</f>
        <v>11</v>
      </c>
      <c r="I7" s="43"/>
      <c r="J7" s="43">
        <f>IF(AA3=7,IF((C7-2)&lt;0,C7-2+12,C7-2),"")</f>
        <v>5</v>
      </c>
      <c r="K7" s="43"/>
      <c r="L7" s="43" t="str">
        <f>IF(AC3="maj7",IF((C7-1)&lt;0,C7-1+12,C7-1),"")</f>
        <v/>
      </c>
      <c r="M7" s="43"/>
      <c r="N7" s="43"/>
      <c r="O7" s="43"/>
      <c r="P7" s="43"/>
      <c r="Q7" s="43"/>
      <c r="R7" s="43" t="str">
        <f>IFERROR(VLOOKUP(IF(VLOOKUP(S8,DATA!$A$1:$B$13,2,FALSE)-VLOOKUP(R8,DATA!$A$1:$B$13,2,FALSE)&lt;0,VLOOKUP(S8,DATA!$A$1:$B$13,2,FALSE)-VLOOKUP(R8,DATA!$A$1:$B$13,2,FALSE)+12,VLOOKUP(S8,DATA!$A$1:$B$13,2,FALSE)-VLOOKUP(R8,DATA!$A$1:$B$13,2,FALSE)),DATA!$B$1:$C$13,2,FALSE),"")</f>
        <v/>
      </c>
      <c r="S7" s="43"/>
      <c r="T7" s="43" t="str">
        <f>IFERROR(VLOOKUP(IF(VLOOKUP(U8,DATA!$A$1:$B$13,2,FALSE)-VLOOKUP(T8,DATA!$A$1:$B$13,2,FALSE)&lt;0,VLOOKUP(U8,DATA!$A$1:$B$13,2,FALSE)-VLOOKUP(T8,DATA!$A$1:$B$13,2,FALSE)+12,VLOOKUP(U8,DATA!$A$1:$B$13,2,FALSE)-VLOOKUP(T8,DATA!$A$1:$B$13,2,FALSE)),DATA!$B$1:$C$13,2,FALSE),"")</f>
        <v/>
      </c>
      <c r="U7" s="43"/>
      <c r="V7" s="55" t="str">
        <f>IFERROR(VLOOKUP(IF(VLOOKUP(W8,DATA!$A$1:$B$13,2,FALSE)-VLOOKUP(V8,DATA!$A$1:$B$13,2,FALSE)&lt;0,VLOOKUP(W8,DATA!$A$1:$B$13,2,FALSE)-VLOOKUP(V8,DATA!$A$1:$B$13,2,FALSE)+12,VLOOKUP(W8,DATA!$A$1:$B$13,2,FALSE)-VLOOKUP(V8,DATA!$A$1:$B$13,2,FALSE)),DATA!$B$1:$C$13,2,FALSE),"")</f>
        <v/>
      </c>
      <c r="W7" s="55"/>
      <c r="X7" s="55"/>
      <c r="Y7" s="31" t="str">
        <f>IFERROR(VLOOKUP(IF(VLOOKUP(Z9,DATA!$A$1:$B$13,2,FALSE)-VLOOKUP(Y9,DATA!$A$1:$B$13,2,FALSE)&lt;0,VLOOKUP(Z9,DATA!$A$1:$B$13,2,FALSE)-VLOOKUP(Y9,DATA!$A$1:$B$13,2,FALSE)+12,VLOOKUP(Z9,DATA!$A$1:$B$13,2,FALSE)-VLOOKUP(Y9,DATA!$A$1:$B$13,2,FALSE)),DATA!$B$1:$C$13,2,FALSE),"")</f>
        <v/>
      </c>
      <c r="Z7" s="31"/>
      <c r="AA7" s="56"/>
      <c r="AB7" s="56"/>
      <c r="AC7" s="56"/>
      <c r="AD7" s="56"/>
      <c r="AE7" s="56"/>
      <c r="AF7" s="16"/>
      <c r="AG7" s="16"/>
      <c r="AH7" s="16"/>
      <c r="AI7" s="16"/>
      <c r="AJ7" s="16"/>
      <c r="AK7" s="31"/>
      <c r="AL7" s="31"/>
      <c r="AM7" s="31" t="str">
        <f>IFERROR(VLOOKUP(IF(VLOOKUP(AN8,DATA!$A$1:$B$13,2,FALSE)-VLOOKUP(AM8,DATA!$A$1:$B$13,2,FALSE)&lt;0,VLOOKUP(AN8,DATA!$A$1:$B$13,2,FALSE)-VLOOKUP(AM8,DATA!$A$1:$B$13,2,FALSE)+12,VLOOKUP(AN8,DATA!$A$1:$B$13,2,FALSE)-VLOOKUP(AM8,DATA!$A$1:$B$13,2,FALSE)),DATA!$B$1:$C$13,2,FALSE),"")</f>
        <v/>
      </c>
      <c r="AN7" s="31"/>
      <c r="AO7" s="31"/>
      <c r="AP7" s="31" t="str">
        <f>IFERROR(VLOOKUP(IF(VLOOKUP(AQ9,DATA!$A$1:$B$13,2,FALSE)-VLOOKUP(AP9,DATA!$A$1:$B$13,2,FALSE)&lt;0,VLOOKUP(AQ9,DATA!$A$1:$B$13,2,FALSE)-VLOOKUP(AP9,DATA!$A$1:$B$13,2,FALSE)+12,VLOOKUP(AQ9,DATA!$A$1:$B$13,2,FALSE)-VLOOKUP(AP9,DATA!$A$1:$B$13,2,FALSE)),DATA!$B$1:$C$13,2,FALSE),"")</f>
        <v/>
      </c>
      <c r="AQ7" s="31"/>
      <c r="AR7" s="56"/>
      <c r="AS7" s="56"/>
      <c r="AT7" s="56"/>
      <c r="AU7" s="56"/>
      <c r="AV7" s="56"/>
      <c r="AW7" s="16"/>
      <c r="AX7" s="16"/>
      <c r="AY7" s="16"/>
      <c r="AZ7" s="16"/>
      <c r="BA7" s="16"/>
      <c r="BB7" s="31" t="str">
        <f>IFERROR(VLOOKUP(IF(VLOOKUP(BC8,DATA!$A$1:$B$13,2,FALSE)-VLOOKUP(BB8,DATA!$A$1:$B$13,2,FALSE)&lt;0,VLOOKUP(BC8,DATA!$A$1:$B$13,2,FALSE)-VLOOKUP(BB8,DATA!$A$1:$B$13,2,FALSE)+12,VLOOKUP(BC8,DATA!$A$1:$B$13,2,FALSE)-VLOOKUP(BB8,DATA!$A$1:$B$13,2,FALSE)),DATA!$B$1:$C$13,2,FALSE),"")</f>
        <v/>
      </c>
      <c r="BC7" s="32"/>
    </row>
    <row r="8" spans="2:55" x14ac:dyDescent="0.3">
      <c r="B8" s="22"/>
      <c r="C8" s="59" t="s">
        <v>26</v>
      </c>
      <c r="D8" s="59"/>
      <c r="E8" s="28" t="str">
        <f>VLOOKUP(IF((E7-$C$7)&lt;0,E7-$C$7+12,E7-$C$7),DATA!$B$1:$C$13,2,FALSE)</f>
        <v>ч5</v>
      </c>
      <c r="F8" s="28"/>
      <c r="G8" s="28"/>
      <c r="H8" s="28" t="str">
        <f>VLOOKUP(IF((H7-$C$7)&lt;0,H7-$C$7+12,H7-$C$7),DATA!$B$1:$C$13,2,FALSE)</f>
        <v>б3</v>
      </c>
      <c r="I8" s="28"/>
      <c r="J8" s="28" t="str">
        <f>IFERROR(VLOOKUP(IF((J7-$C$7)&lt;0,J7-$C$7+12,J7-$C$7),DATA!$B$1:$C$13,2,FALSE),"")</f>
        <v>м7</v>
      </c>
      <c r="K8" s="28"/>
      <c r="L8" s="28" t="str">
        <f>IFERROR(VLOOKUP(IF((L7-$C$7)&lt;0,L7-$C$7+12,L7-$C$7),DATA!$B$1:$C$13,2,FALSE),"")</f>
        <v/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 t="str">
        <f>IFERROR(VLOOKUP(IF(VLOOKUP(AJ9,DATA!$A$1:$B$13,2,FALSE)-VLOOKUP(AI9,DATA!$A$1:$B$13,2,FALSE)&lt;0,VLOOKUP(AJ9,DATA!$A$1:$B$13,2,FALSE)-VLOOKUP(AI9,DATA!$A$1:$B$13,2,FALSE)+12,VLOOKUP(AJ9,DATA!$A$1:$B$13,2,FALSE)-VLOOKUP(AI9,DATA!$A$1:$B$13,2,FALSE)),DATA!$B$1:$C$13,2,FALSE),"")</f>
        <v/>
      </c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 t="str">
        <f>IFERROR(VLOOKUP(IF(VLOOKUP(BA9,DATA!$A$1:$B$13,2,FALSE)-VLOOKUP(AZ9,DATA!$A$1:$B$13,2,FALSE)&lt;0,VLOOKUP(BA9,DATA!$A$1:$B$13,2,FALSE)-VLOOKUP(AZ9,DATA!$A$1:$B$13,2,FALSE)+12,VLOOKUP(BA9,DATA!$A$1:$B$13,2,FALSE)-VLOOKUP(AZ9,DATA!$A$1:$B$13,2,FALSE)),DATA!$B$1:$C$13,2,FALSE),"")</f>
        <v/>
      </c>
      <c r="BA8" s="28"/>
      <c r="BB8" s="28"/>
      <c r="BC8" s="33"/>
    </row>
    <row r="9" spans="2:55" s="1" customFormat="1" x14ac:dyDescent="0.3"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</row>
    <row r="10" spans="2:55" x14ac:dyDescent="0.3"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</row>
    <row r="11" spans="2:55" x14ac:dyDescent="0.3">
      <c r="B11" s="49"/>
      <c r="C11" s="50" t="s">
        <v>25</v>
      </c>
      <c r="D11" s="39" t="s">
        <v>9</v>
      </c>
      <c r="E11" s="39"/>
      <c r="F11" s="50" t="s">
        <v>10</v>
      </c>
      <c r="G11" s="39" t="s">
        <v>11</v>
      </c>
      <c r="H11" s="39"/>
      <c r="I11" s="50" t="s">
        <v>12</v>
      </c>
      <c r="J11" s="50" t="s">
        <v>13</v>
      </c>
      <c r="K11" s="39" t="s">
        <v>15</v>
      </c>
      <c r="L11" s="39"/>
      <c r="M11" s="50" t="s">
        <v>14</v>
      </c>
      <c r="N11" s="39" t="s">
        <v>16</v>
      </c>
      <c r="O11" s="39"/>
      <c r="P11" s="50" t="s">
        <v>17</v>
      </c>
      <c r="Q11" s="39" t="s">
        <v>18</v>
      </c>
      <c r="R11" s="39"/>
      <c r="S11" s="50" t="s">
        <v>19</v>
      </c>
      <c r="T11" s="50" t="s">
        <v>25</v>
      </c>
      <c r="U11" s="39" t="s">
        <v>9</v>
      </c>
      <c r="V11" s="39"/>
      <c r="W11" s="50" t="s">
        <v>10</v>
      </c>
      <c r="X11" s="39" t="s">
        <v>11</v>
      </c>
      <c r="Y11" s="39"/>
      <c r="Z11" s="50" t="s">
        <v>12</v>
      </c>
      <c r="AA11" s="50" t="s">
        <v>13</v>
      </c>
      <c r="AB11" s="39" t="s">
        <v>15</v>
      </c>
      <c r="AC11" s="39"/>
      <c r="AD11" s="50" t="s">
        <v>14</v>
      </c>
      <c r="AE11" s="39" t="s">
        <v>16</v>
      </c>
      <c r="AF11" s="39"/>
      <c r="AG11" s="50" t="s">
        <v>17</v>
      </c>
      <c r="AH11" s="39" t="s">
        <v>18</v>
      </c>
      <c r="AI11" s="39"/>
      <c r="AJ11" s="50" t="s">
        <v>19</v>
      </c>
      <c r="AK11" s="50" t="s">
        <v>25</v>
      </c>
      <c r="AL11" s="39" t="s">
        <v>9</v>
      </c>
      <c r="AM11" s="39"/>
      <c r="AN11" s="50" t="s">
        <v>10</v>
      </c>
      <c r="AO11" s="39" t="s">
        <v>11</v>
      </c>
      <c r="AP11" s="39"/>
      <c r="AQ11" s="50" t="s">
        <v>12</v>
      </c>
      <c r="AR11" s="50" t="s">
        <v>13</v>
      </c>
      <c r="AS11" s="39" t="s">
        <v>15</v>
      </c>
      <c r="AT11" s="39"/>
      <c r="AU11" s="50" t="s">
        <v>14</v>
      </c>
      <c r="AV11" s="39" t="s">
        <v>16</v>
      </c>
      <c r="AW11" s="39"/>
      <c r="AX11" s="50" t="s">
        <v>17</v>
      </c>
      <c r="AY11" s="39" t="s">
        <v>18</v>
      </c>
      <c r="AZ11" s="39"/>
      <c r="BA11" s="50" t="s">
        <v>19</v>
      </c>
      <c r="BB11" s="48"/>
    </row>
    <row r="12" spans="2:55" x14ac:dyDescent="0.3">
      <c r="B12" s="49"/>
      <c r="C12" s="51"/>
      <c r="D12" s="40"/>
      <c r="E12" s="40"/>
      <c r="F12" s="51"/>
      <c r="G12" s="40"/>
      <c r="H12" s="40"/>
      <c r="I12" s="51"/>
      <c r="J12" s="51"/>
      <c r="K12" s="40"/>
      <c r="L12" s="40"/>
      <c r="M12" s="51"/>
      <c r="N12" s="40"/>
      <c r="O12" s="40"/>
      <c r="P12" s="51"/>
      <c r="Q12" s="40"/>
      <c r="R12" s="40"/>
      <c r="S12" s="51"/>
      <c r="T12" s="51"/>
      <c r="U12" s="40"/>
      <c r="V12" s="40"/>
      <c r="W12" s="51"/>
      <c r="X12" s="40"/>
      <c r="Y12" s="40"/>
      <c r="Z12" s="51"/>
      <c r="AA12" s="51"/>
      <c r="AB12" s="40"/>
      <c r="AC12" s="40"/>
      <c r="AD12" s="51"/>
      <c r="AE12" s="40"/>
      <c r="AF12" s="40"/>
      <c r="AG12" s="51"/>
      <c r="AH12" s="40"/>
      <c r="AI12" s="40"/>
      <c r="AJ12" s="51"/>
      <c r="AK12" s="51"/>
      <c r="AL12" s="40"/>
      <c r="AM12" s="40"/>
      <c r="AN12" s="51"/>
      <c r="AO12" s="40"/>
      <c r="AP12" s="40"/>
      <c r="AQ12" s="51"/>
      <c r="AR12" s="51"/>
      <c r="AS12" s="40"/>
      <c r="AT12" s="40"/>
      <c r="AU12" s="51"/>
      <c r="AV12" s="40"/>
      <c r="AW12" s="40"/>
      <c r="AX12" s="51"/>
      <c r="AY12" s="40"/>
      <c r="AZ12" s="40"/>
      <c r="BA12" s="51"/>
      <c r="BB12" s="48"/>
    </row>
    <row r="13" spans="2:55" x14ac:dyDescent="0.3">
      <c r="B13" s="49"/>
      <c r="C13" s="51"/>
      <c r="D13" s="40"/>
      <c r="E13" s="40"/>
      <c r="F13" s="51"/>
      <c r="G13" s="40"/>
      <c r="H13" s="40"/>
      <c r="I13" s="51"/>
      <c r="J13" s="51"/>
      <c r="K13" s="40"/>
      <c r="L13" s="40"/>
      <c r="M13" s="51"/>
      <c r="N13" s="40"/>
      <c r="O13" s="40"/>
      <c r="P13" s="51"/>
      <c r="Q13" s="40"/>
      <c r="R13" s="40"/>
      <c r="S13" s="51"/>
      <c r="T13" s="51"/>
      <c r="U13" s="40"/>
      <c r="V13" s="40"/>
      <c r="W13" s="51"/>
      <c r="X13" s="40"/>
      <c r="Y13" s="40"/>
      <c r="Z13" s="51"/>
      <c r="AA13" s="51"/>
      <c r="AB13" s="40"/>
      <c r="AC13" s="40"/>
      <c r="AD13" s="51"/>
      <c r="AE13" s="40"/>
      <c r="AF13" s="40"/>
      <c r="AG13" s="51"/>
      <c r="AH13" s="40"/>
      <c r="AI13" s="40"/>
      <c r="AJ13" s="51"/>
      <c r="AK13" s="51"/>
      <c r="AL13" s="40"/>
      <c r="AM13" s="40"/>
      <c r="AN13" s="51"/>
      <c r="AO13" s="40"/>
      <c r="AP13" s="40"/>
      <c r="AQ13" s="51"/>
      <c r="AR13" s="51"/>
      <c r="AS13" s="40"/>
      <c r="AT13" s="40"/>
      <c r="AU13" s="51"/>
      <c r="AV13" s="40"/>
      <c r="AW13" s="40"/>
      <c r="AX13" s="51"/>
      <c r="AY13" s="40"/>
      <c r="AZ13" s="40"/>
      <c r="BA13" s="51"/>
      <c r="BB13" s="48"/>
    </row>
    <row r="14" spans="2:55" x14ac:dyDescent="0.3">
      <c r="B14" s="49"/>
      <c r="C14" s="51"/>
      <c r="D14" s="40"/>
      <c r="E14" s="40"/>
      <c r="F14" s="51"/>
      <c r="G14" s="40"/>
      <c r="H14" s="40"/>
      <c r="I14" s="51"/>
      <c r="J14" s="51"/>
      <c r="K14" s="40"/>
      <c r="L14" s="40"/>
      <c r="M14" s="51"/>
      <c r="N14" s="40"/>
      <c r="O14" s="40"/>
      <c r="P14" s="51"/>
      <c r="Q14" s="40"/>
      <c r="R14" s="40"/>
      <c r="S14" s="51"/>
      <c r="T14" s="51"/>
      <c r="U14" s="40"/>
      <c r="V14" s="40"/>
      <c r="W14" s="51"/>
      <c r="X14" s="40"/>
      <c r="Y14" s="40"/>
      <c r="Z14" s="51"/>
      <c r="AA14" s="51"/>
      <c r="AB14" s="40"/>
      <c r="AC14" s="40"/>
      <c r="AD14" s="51"/>
      <c r="AE14" s="40"/>
      <c r="AF14" s="40"/>
      <c r="AG14" s="51"/>
      <c r="AH14" s="40"/>
      <c r="AI14" s="40"/>
      <c r="AJ14" s="51"/>
      <c r="AK14" s="51"/>
      <c r="AL14" s="40"/>
      <c r="AM14" s="40"/>
      <c r="AN14" s="51"/>
      <c r="AO14" s="40"/>
      <c r="AP14" s="40"/>
      <c r="AQ14" s="51"/>
      <c r="AR14" s="51"/>
      <c r="AS14" s="40"/>
      <c r="AT14" s="40"/>
      <c r="AU14" s="51"/>
      <c r="AV14" s="40"/>
      <c r="AW14" s="40"/>
      <c r="AX14" s="51"/>
      <c r="AY14" s="40"/>
      <c r="AZ14" s="40"/>
      <c r="BA14" s="51"/>
      <c r="BB14" s="48"/>
    </row>
    <row r="15" spans="2:55" x14ac:dyDescent="0.3">
      <c r="B15" s="49"/>
      <c r="C15" s="44" t="s">
        <v>25</v>
      </c>
      <c r="D15" s="45"/>
      <c r="E15" s="41" t="s">
        <v>10</v>
      </c>
      <c r="F15" s="41"/>
      <c r="G15" s="41"/>
      <c r="H15" s="41" t="s">
        <v>12</v>
      </c>
      <c r="I15" s="41"/>
      <c r="J15" s="41" t="s">
        <v>13</v>
      </c>
      <c r="K15" s="41"/>
      <c r="L15" s="41" t="s">
        <v>14</v>
      </c>
      <c r="M15" s="41"/>
      <c r="N15" s="41"/>
      <c r="O15" s="41" t="s">
        <v>17</v>
      </c>
      <c r="P15" s="41"/>
      <c r="Q15" s="41"/>
      <c r="R15" s="41" t="s">
        <v>19</v>
      </c>
      <c r="S15" s="41"/>
      <c r="T15" s="41" t="s">
        <v>25</v>
      </c>
      <c r="U15" s="41"/>
      <c r="V15" s="41" t="s">
        <v>10</v>
      </c>
      <c r="W15" s="41"/>
      <c r="X15" s="41"/>
      <c r="Y15" s="41" t="s">
        <v>12</v>
      </c>
      <c r="Z15" s="41"/>
      <c r="AA15" s="41" t="s">
        <v>13</v>
      </c>
      <c r="AB15" s="41"/>
      <c r="AC15" s="41" t="s">
        <v>14</v>
      </c>
      <c r="AD15" s="41"/>
      <c r="AE15" s="41"/>
      <c r="AF15" s="41" t="s">
        <v>17</v>
      </c>
      <c r="AG15" s="41"/>
      <c r="AH15" s="41"/>
      <c r="AI15" s="41" t="s">
        <v>19</v>
      </c>
      <c r="AJ15" s="41"/>
      <c r="AK15" s="41" t="s">
        <v>25</v>
      </c>
      <c r="AL15" s="41"/>
      <c r="AM15" s="41" t="s">
        <v>10</v>
      </c>
      <c r="AN15" s="41"/>
      <c r="AO15" s="41"/>
      <c r="AP15" s="41" t="s">
        <v>12</v>
      </c>
      <c r="AQ15" s="41"/>
      <c r="AR15" s="41" t="s">
        <v>13</v>
      </c>
      <c r="AS15" s="41"/>
      <c r="AT15" s="41" t="s">
        <v>14</v>
      </c>
      <c r="AU15" s="41"/>
      <c r="AV15" s="41"/>
      <c r="AW15" s="41" t="s">
        <v>17</v>
      </c>
      <c r="AX15" s="41"/>
      <c r="AY15" s="41"/>
      <c r="AZ15" s="41" t="s">
        <v>19</v>
      </c>
      <c r="BA15" s="41"/>
      <c r="BB15" s="48"/>
    </row>
    <row r="16" spans="2:55" x14ac:dyDescent="0.3">
      <c r="B16" s="46" t="s">
        <v>51</v>
      </c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</row>
    <row r="17" spans="2:54" s="1" customFormat="1" x14ac:dyDescent="0.3"/>
    <row r="18" spans="2:54" x14ac:dyDescent="0.3">
      <c r="B18" s="5"/>
      <c r="C18" s="37" t="s">
        <v>49</v>
      </c>
      <c r="D18" s="38"/>
      <c r="E18" s="38"/>
      <c r="F18" s="38"/>
      <c r="G18" s="38"/>
      <c r="H18" s="37"/>
      <c r="I18" s="37"/>
      <c r="J18" s="38" t="s">
        <v>47</v>
      </c>
      <c r="K18" s="38"/>
      <c r="L18" s="38"/>
      <c r="M18" s="38"/>
      <c r="N18" s="38"/>
      <c r="O18" s="38" t="s">
        <v>42</v>
      </c>
      <c r="P18" s="38"/>
      <c r="Q18" s="38"/>
      <c r="R18" s="38"/>
      <c r="S18" s="38"/>
      <c r="T18" s="38" t="s">
        <v>43</v>
      </c>
      <c r="U18" s="38"/>
      <c r="V18" s="38"/>
      <c r="W18" s="38"/>
      <c r="X18" s="38"/>
      <c r="Y18" s="38" t="s">
        <v>44</v>
      </c>
      <c r="Z18" s="38"/>
      <c r="AA18" s="38"/>
      <c r="AB18" s="38"/>
      <c r="AC18" s="38"/>
      <c r="AD18" s="38"/>
      <c r="AE18" s="38"/>
      <c r="AF18" s="38" t="s">
        <v>45</v>
      </c>
      <c r="AG18" s="38"/>
      <c r="AH18" s="38"/>
      <c r="AI18" s="38"/>
      <c r="AJ18" s="38"/>
      <c r="AK18" s="38"/>
      <c r="AL18" s="38"/>
      <c r="AM18" s="53" t="s">
        <v>46</v>
      </c>
      <c r="AN18" s="53"/>
      <c r="AO18" s="53"/>
      <c r="AP18" s="54"/>
      <c r="AQ18" s="54"/>
      <c r="AR18" s="54" t="s">
        <v>48</v>
      </c>
      <c r="AS18" s="54"/>
      <c r="AT18" s="6"/>
      <c r="AU18" s="7"/>
      <c r="AV18" s="8"/>
      <c r="AW18" s="57" t="s">
        <v>50</v>
      </c>
      <c r="AX18" s="58"/>
      <c r="AY18" s="58"/>
      <c r="AZ18" s="37"/>
      <c r="BA18" s="37"/>
      <c r="BB18" s="7"/>
    </row>
    <row r="19" spans="2:54" x14ac:dyDescent="0.3">
      <c r="B19" s="9">
        <v>1</v>
      </c>
      <c r="C19" s="34" t="s">
        <v>12</v>
      </c>
      <c r="D19" s="35"/>
      <c r="E19" s="52" t="s">
        <v>13</v>
      </c>
      <c r="F19" s="35"/>
      <c r="G19" s="36"/>
      <c r="H19" s="34" t="s">
        <v>15</v>
      </c>
      <c r="I19" s="36"/>
      <c r="J19" s="34" t="s">
        <v>14</v>
      </c>
      <c r="K19" s="36"/>
      <c r="L19" s="34" t="s">
        <v>16</v>
      </c>
      <c r="M19" s="35"/>
      <c r="N19" s="36"/>
      <c r="O19" s="34" t="s">
        <v>17</v>
      </c>
      <c r="P19" s="35"/>
      <c r="Q19" s="36"/>
      <c r="R19" s="34" t="s">
        <v>18</v>
      </c>
      <c r="S19" s="36"/>
      <c r="T19" s="34" t="s">
        <v>19</v>
      </c>
      <c r="U19" s="36"/>
      <c r="V19" s="34" t="s">
        <v>25</v>
      </c>
      <c r="W19" s="35"/>
      <c r="X19" s="36"/>
      <c r="Y19" s="34" t="s">
        <v>9</v>
      </c>
      <c r="Z19" s="36"/>
      <c r="AA19" s="34" t="s">
        <v>10</v>
      </c>
      <c r="AB19" s="36"/>
      <c r="AC19" s="34" t="s">
        <v>11</v>
      </c>
      <c r="AD19" s="35"/>
      <c r="AE19" s="36"/>
      <c r="AF19" s="34" t="s">
        <v>12</v>
      </c>
      <c r="AG19" s="35"/>
      <c r="AH19" s="36"/>
      <c r="AI19" s="34" t="s">
        <v>13</v>
      </c>
      <c r="AJ19" s="36"/>
      <c r="AK19" s="34" t="s">
        <v>15</v>
      </c>
      <c r="AL19" s="36"/>
      <c r="AM19" s="34" t="s">
        <v>14</v>
      </c>
      <c r="AN19" s="35"/>
      <c r="AO19" s="36"/>
      <c r="AP19" s="34" t="s">
        <v>16</v>
      </c>
      <c r="AQ19" s="36"/>
      <c r="AR19" s="34" t="s">
        <v>17</v>
      </c>
      <c r="AS19" s="36"/>
      <c r="AT19" s="34" t="s">
        <v>18</v>
      </c>
      <c r="AU19" s="35"/>
      <c r="AV19" s="36"/>
      <c r="AW19" s="34" t="s">
        <v>19</v>
      </c>
      <c r="AX19" s="35"/>
      <c r="AY19" s="36"/>
      <c r="AZ19" s="34" t="s">
        <v>25</v>
      </c>
      <c r="BA19" s="36"/>
      <c r="BB19" s="48"/>
    </row>
    <row r="20" spans="2:54" x14ac:dyDescent="0.3">
      <c r="B20" s="9">
        <v>2</v>
      </c>
      <c r="C20" s="34" t="s">
        <v>19</v>
      </c>
      <c r="D20" s="35"/>
      <c r="E20" s="52" t="s">
        <v>25</v>
      </c>
      <c r="F20" s="35"/>
      <c r="G20" s="36"/>
      <c r="H20" s="34" t="s">
        <v>9</v>
      </c>
      <c r="I20" s="36"/>
      <c r="J20" s="34" t="s">
        <v>10</v>
      </c>
      <c r="K20" s="36"/>
      <c r="L20" s="34" t="s">
        <v>11</v>
      </c>
      <c r="M20" s="35"/>
      <c r="N20" s="36"/>
      <c r="O20" s="34" t="s">
        <v>12</v>
      </c>
      <c r="P20" s="35"/>
      <c r="Q20" s="36"/>
      <c r="R20" s="34" t="s">
        <v>13</v>
      </c>
      <c r="S20" s="36"/>
      <c r="T20" s="34" t="s">
        <v>15</v>
      </c>
      <c r="U20" s="36"/>
      <c r="V20" s="34" t="s">
        <v>14</v>
      </c>
      <c r="W20" s="35"/>
      <c r="X20" s="36"/>
      <c r="Y20" s="34" t="s">
        <v>16</v>
      </c>
      <c r="Z20" s="36"/>
      <c r="AA20" s="34" t="s">
        <v>17</v>
      </c>
      <c r="AB20" s="36"/>
      <c r="AC20" s="34" t="s">
        <v>18</v>
      </c>
      <c r="AD20" s="35"/>
      <c r="AE20" s="36"/>
      <c r="AF20" s="34" t="s">
        <v>19</v>
      </c>
      <c r="AG20" s="35"/>
      <c r="AH20" s="36"/>
      <c r="AI20" s="34" t="s">
        <v>25</v>
      </c>
      <c r="AJ20" s="36"/>
      <c r="AK20" s="34" t="s">
        <v>9</v>
      </c>
      <c r="AL20" s="36"/>
      <c r="AM20" s="34" t="s">
        <v>10</v>
      </c>
      <c r="AN20" s="35"/>
      <c r="AO20" s="36"/>
      <c r="AP20" s="34" t="s">
        <v>11</v>
      </c>
      <c r="AQ20" s="36"/>
      <c r="AR20" s="34" t="s">
        <v>12</v>
      </c>
      <c r="AS20" s="36"/>
      <c r="AT20" s="34" t="s">
        <v>13</v>
      </c>
      <c r="AU20" s="35"/>
      <c r="AV20" s="36"/>
      <c r="AW20" s="34" t="s">
        <v>15</v>
      </c>
      <c r="AX20" s="35"/>
      <c r="AY20" s="36"/>
      <c r="AZ20" s="34" t="s">
        <v>14</v>
      </c>
      <c r="BA20" s="36"/>
      <c r="BB20" s="48"/>
    </row>
    <row r="21" spans="2:54" x14ac:dyDescent="0.3">
      <c r="B21" s="9">
        <v>3</v>
      </c>
      <c r="C21" s="34" t="s">
        <v>14</v>
      </c>
      <c r="D21" s="35"/>
      <c r="E21" s="52" t="s">
        <v>16</v>
      </c>
      <c r="F21" s="35"/>
      <c r="G21" s="36"/>
      <c r="H21" s="34" t="s">
        <v>17</v>
      </c>
      <c r="I21" s="36"/>
      <c r="J21" s="34" t="s">
        <v>18</v>
      </c>
      <c r="K21" s="36"/>
      <c r="L21" s="34" t="s">
        <v>19</v>
      </c>
      <c r="M21" s="35"/>
      <c r="N21" s="36"/>
      <c r="O21" s="34" t="s">
        <v>25</v>
      </c>
      <c r="P21" s="35"/>
      <c r="Q21" s="36"/>
      <c r="R21" s="34" t="s">
        <v>9</v>
      </c>
      <c r="S21" s="36"/>
      <c r="T21" s="34" t="s">
        <v>10</v>
      </c>
      <c r="U21" s="36"/>
      <c r="V21" s="34" t="s">
        <v>11</v>
      </c>
      <c r="W21" s="35"/>
      <c r="X21" s="36"/>
      <c r="Y21" s="34" t="s">
        <v>12</v>
      </c>
      <c r="Z21" s="36"/>
      <c r="AA21" s="34" t="s">
        <v>13</v>
      </c>
      <c r="AB21" s="36"/>
      <c r="AC21" s="34" t="s">
        <v>15</v>
      </c>
      <c r="AD21" s="35"/>
      <c r="AE21" s="36"/>
      <c r="AF21" s="34" t="s">
        <v>14</v>
      </c>
      <c r="AG21" s="35"/>
      <c r="AH21" s="36"/>
      <c r="AI21" s="34" t="s">
        <v>16</v>
      </c>
      <c r="AJ21" s="36"/>
      <c r="AK21" s="34" t="s">
        <v>17</v>
      </c>
      <c r="AL21" s="36"/>
      <c r="AM21" s="34" t="s">
        <v>18</v>
      </c>
      <c r="AN21" s="35"/>
      <c r="AO21" s="36"/>
      <c r="AP21" s="34" t="s">
        <v>19</v>
      </c>
      <c r="AQ21" s="36"/>
      <c r="AR21" s="34" t="s">
        <v>25</v>
      </c>
      <c r="AS21" s="36"/>
      <c r="AT21" s="34" t="s">
        <v>9</v>
      </c>
      <c r="AU21" s="35"/>
      <c r="AV21" s="36"/>
      <c r="AW21" s="34" t="s">
        <v>10</v>
      </c>
      <c r="AX21" s="35"/>
      <c r="AY21" s="36"/>
      <c r="AZ21" s="34" t="s">
        <v>11</v>
      </c>
      <c r="BA21" s="36"/>
      <c r="BB21" s="48"/>
    </row>
    <row r="22" spans="2:54" x14ac:dyDescent="0.3">
      <c r="B22" s="9">
        <v>4</v>
      </c>
      <c r="C22" s="34" t="s">
        <v>10</v>
      </c>
      <c r="D22" s="35"/>
      <c r="E22" s="52" t="s">
        <v>11</v>
      </c>
      <c r="F22" s="35"/>
      <c r="G22" s="36"/>
      <c r="H22" s="34" t="s">
        <v>12</v>
      </c>
      <c r="I22" s="36"/>
      <c r="J22" s="34" t="s">
        <v>13</v>
      </c>
      <c r="K22" s="36"/>
      <c r="L22" s="34" t="s">
        <v>15</v>
      </c>
      <c r="M22" s="35"/>
      <c r="N22" s="36"/>
      <c r="O22" s="34" t="s">
        <v>14</v>
      </c>
      <c r="P22" s="35"/>
      <c r="Q22" s="36"/>
      <c r="R22" s="34" t="s">
        <v>16</v>
      </c>
      <c r="S22" s="36"/>
      <c r="T22" s="34" t="s">
        <v>17</v>
      </c>
      <c r="U22" s="36"/>
      <c r="V22" s="34" t="s">
        <v>18</v>
      </c>
      <c r="W22" s="35"/>
      <c r="X22" s="36"/>
      <c r="Y22" s="34" t="s">
        <v>19</v>
      </c>
      <c r="Z22" s="36"/>
      <c r="AA22" s="34" t="s">
        <v>25</v>
      </c>
      <c r="AB22" s="36"/>
      <c r="AC22" s="34" t="s">
        <v>9</v>
      </c>
      <c r="AD22" s="35"/>
      <c r="AE22" s="36"/>
      <c r="AF22" s="34" t="s">
        <v>10</v>
      </c>
      <c r="AG22" s="35"/>
      <c r="AH22" s="36"/>
      <c r="AI22" s="34" t="s">
        <v>11</v>
      </c>
      <c r="AJ22" s="36"/>
      <c r="AK22" s="34" t="s">
        <v>12</v>
      </c>
      <c r="AL22" s="36"/>
      <c r="AM22" s="34" t="s">
        <v>13</v>
      </c>
      <c r="AN22" s="35"/>
      <c r="AO22" s="36"/>
      <c r="AP22" s="34" t="s">
        <v>15</v>
      </c>
      <c r="AQ22" s="36"/>
      <c r="AR22" s="34" t="s">
        <v>14</v>
      </c>
      <c r="AS22" s="36"/>
      <c r="AT22" s="34" t="s">
        <v>16</v>
      </c>
      <c r="AU22" s="35"/>
      <c r="AV22" s="36"/>
      <c r="AW22" s="34" t="s">
        <v>17</v>
      </c>
      <c r="AX22" s="35"/>
      <c r="AY22" s="36"/>
      <c r="AZ22" s="34" t="s">
        <v>18</v>
      </c>
      <c r="BA22" s="36"/>
      <c r="BB22" s="48"/>
    </row>
    <row r="23" spans="2:54" x14ac:dyDescent="0.3">
      <c r="B23" s="9">
        <v>5</v>
      </c>
      <c r="C23" s="34" t="s">
        <v>17</v>
      </c>
      <c r="D23" s="35"/>
      <c r="E23" s="52" t="s">
        <v>18</v>
      </c>
      <c r="F23" s="35"/>
      <c r="G23" s="36"/>
      <c r="H23" s="34" t="s">
        <v>19</v>
      </c>
      <c r="I23" s="36"/>
      <c r="J23" s="34" t="s">
        <v>25</v>
      </c>
      <c r="K23" s="36"/>
      <c r="L23" s="34" t="s">
        <v>9</v>
      </c>
      <c r="M23" s="35"/>
      <c r="N23" s="36"/>
      <c r="O23" s="34" t="s">
        <v>10</v>
      </c>
      <c r="P23" s="35"/>
      <c r="Q23" s="36"/>
      <c r="R23" s="34" t="s">
        <v>11</v>
      </c>
      <c r="S23" s="36"/>
      <c r="T23" s="34" t="s">
        <v>12</v>
      </c>
      <c r="U23" s="36"/>
      <c r="V23" s="34" t="s">
        <v>13</v>
      </c>
      <c r="W23" s="35"/>
      <c r="X23" s="36"/>
      <c r="Y23" s="34" t="s">
        <v>15</v>
      </c>
      <c r="Z23" s="36"/>
      <c r="AA23" s="34" t="s">
        <v>14</v>
      </c>
      <c r="AB23" s="36"/>
      <c r="AC23" s="34" t="s">
        <v>16</v>
      </c>
      <c r="AD23" s="35"/>
      <c r="AE23" s="36"/>
      <c r="AF23" s="34" t="s">
        <v>17</v>
      </c>
      <c r="AG23" s="35"/>
      <c r="AH23" s="36"/>
      <c r="AI23" s="34" t="s">
        <v>18</v>
      </c>
      <c r="AJ23" s="36"/>
      <c r="AK23" s="34" t="s">
        <v>19</v>
      </c>
      <c r="AL23" s="36"/>
      <c r="AM23" s="34" t="s">
        <v>25</v>
      </c>
      <c r="AN23" s="35"/>
      <c r="AO23" s="36"/>
      <c r="AP23" s="34" t="s">
        <v>9</v>
      </c>
      <c r="AQ23" s="36"/>
      <c r="AR23" s="34" t="s">
        <v>10</v>
      </c>
      <c r="AS23" s="36"/>
      <c r="AT23" s="34" t="s">
        <v>11</v>
      </c>
      <c r="AU23" s="35"/>
      <c r="AV23" s="36"/>
      <c r="AW23" s="34" t="s">
        <v>12</v>
      </c>
      <c r="AX23" s="35"/>
      <c r="AY23" s="36"/>
      <c r="AZ23" s="34" t="s">
        <v>13</v>
      </c>
      <c r="BA23" s="36"/>
      <c r="BB23" s="48"/>
    </row>
    <row r="24" spans="2:54" x14ac:dyDescent="0.3">
      <c r="B24" s="9">
        <v>6</v>
      </c>
      <c r="C24" s="34" t="s">
        <v>12</v>
      </c>
      <c r="D24" s="35"/>
      <c r="E24" s="52" t="s">
        <v>13</v>
      </c>
      <c r="F24" s="35"/>
      <c r="G24" s="36"/>
      <c r="H24" s="34" t="s">
        <v>15</v>
      </c>
      <c r="I24" s="36"/>
      <c r="J24" s="34" t="s">
        <v>14</v>
      </c>
      <c r="K24" s="36"/>
      <c r="L24" s="34" t="s">
        <v>16</v>
      </c>
      <c r="M24" s="35"/>
      <c r="N24" s="36"/>
      <c r="O24" s="34" t="s">
        <v>17</v>
      </c>
      <c r="P24" s="35"/>
      <c r="Q24" s="36"/>
      <c r="R24" s="34" t="s">
        <v>18</v>
      </c>
      <c r="S24" s="36"/>
      <c r="T24" s="34" t="s">
        <v>19</v>
      </c>
      <c r="U24" s="36"/>
      <c r="V24" s="34" t="s">
        <v>25</v>
      </c>
      <c r="W24" s="35"/>
      <c r="X24" s="36"/>
      <c r="Y24" s="34" t="s">
        <v>9</v>
      </c>
      <c r="Z24" s="36"/>
      <c r="AA24" s="34" t="s">
        <v>10</v>
      </c>
      <c r="AB24" s="36"/>
      <c r="AC24" s="34" t="s">
        <v>11</v>
      </c>
      <c r="AD24" s="35"/>
      <c r="AE24" s="36"/>
      <c r="AF24" s="34" t="s">
        <v>12</v>
      </c>
      <c r="AG24" s="35"/>
      <c r="AH24" s="36"/>
      <c r="AI24" s="34" t="s">
        <v>13</v>
      </c>
      <c r="AJ24" s="36"/>
      <c r="AK24" s="34" t="s">
        <v>15</v>
      </c>
      <c r="AL24" s="36"/>
      <c r="AM24" s="34" t="s">
        <v>14</v>
      </c>
      <c r="AN24" s="35"/>
      <c r="AO24" s="36"/>
      <c r="AP24" s="34" t="s">
        <v>16</v>
      </c>
      <c r="AQ24" s="36"/>
      <c r="AR24" s="34" t="s">
        <v>17</v>
      </c>
      <c r="AS24" s="36"/>
      <c r="AT24" s="34" t="s">
        <v>18</v>
      </c>
      <c r="AU24" s="35"/>
      <c r="AV24" s="36"/>
      <c r="AW24" s="34" t="s">
        <v>19</v>
      </c>
      <c r="AX24" s="35"/>
      <c r="AY24" s="36"/>
      <c r="AZ24" s="34" t="s">
        <v>25</v>
      </c>
      <c r="BA24" s="36"/>
      <c r="BB24" s="48"/>
    </row>
    <row r="25" spans="2:54" x14ac:dyDescent="0.3">
      <c r="B25" s="46" t="s">
        <v>52</v>
      </c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</row>
    <row r="26" spans="2:54" s="1" customFormat="1" hidden="1" x14ac:dyDescent="0.3"/>
    <row r="27" spans="2:54" s="1" customFormat="1" hidden="1" x14ac:dyDescent="0.3"/>
    <row r="28" spans="2:54" s="1" customFormat="1" hidden="1" x14ac:dyDescent="0.3"/>
    <row r="29" spans="2:54" s="1" customFormat="1" hidden="1" x14ac:dyDescent="0.3"/>
    <row r="30" spans="2:54" s="1" customFormat="1" hidden="1" x14ac:dyDescent="0.3"/>
    <row r="31" spans="2:54" s="1" customFormat="1" hidden="1" x14ac:dyDescent="0.3"/>
    <row r="32" spans="2:54" s="1" customFormat="1" hidden="1" x14ac:dyDescent="0.3"/>
    <row r="33" s="1" customFormat="1" hidden="1" x14ac:dyDescent="0.3"/>
    <row r="34" s="1" customFormat="1" hidden="1" x14ac:dyDescent="0.3"/>
    <row r="35" s="1" customFormat="1" hidden="1" x14ac:dyDescent="0.3"/>
    <row r="36" s="1" customFormat="1" hidden="1" x14ac:dyDescent="0.3"/>
    <row r="37" s="1" customFormat="1" hidden="1" x14ac:dyDescent="0.3"/>
    <row r="38" s="1" customFormat="1" hidden="1" x14ac:dyDescent="0.3"/>
    <row r="39" s="1" customFormat="1" hidden="1" x14ac:dyDescent="0.3"/>
  </sheetData>
  <mergeCells count="358">
    <mergeCell ref="C5:G5"/>
    <mergeCell ref="AA5:AB5"/>
    <mergeCell ref="AA6:AB6"/>
    <mergeCell ref="AA7:AB7"/>
    <mergeCell ref="AA8:AB8"/>
    <mergeCell ref="AC5:AE5"/>
    <mergeCell ref="AC6:AE6"/>
    <mergeCell ref="AC7:AE7"/>
    <mergeCell ref="AC8:AE8"/>
    <mergeCell ref="H5:I5"/>
    <mergeCell ref="J5:K5"/>
    <mergeCell ref="L5:N5"/>
    <mergeCell ref="O5:Q5"/>
    <mergeCell ref="R5:S5"/>
    <mergeCell ref="T5:U5"/>
    <mergeCell ref="V5:X5"/>
    <mergeCell ref="Y5:Z5"/>
    <mergeCell ref="V7:X7"/>
    <mergeCell ref="Y6:Z6"/>
    <mergeCell ref="Y7:Z7"/>
    <mergeCell ref="J6:K6"/>
    <mergeCell ref="J7:K7"/>
    <mergeCell ref="L6:N6"/>
    <mergeCell ref="O6:Q6"/>
    <mergeCell ref="AW18:AY18"/>
    <mergeCell ref="AZ18:BA18"/>
    <mergeCell ref="BB19:BB24"/>
    <mergeCell ref="B25:BB25"/>
    <mergeCell ref="C8:D8"/>
    <mergeCell ref="AP18:AQ18"/>
    <mergeCell ref="F11:F14"/>
    <mergeCell ref="M11:M14"/>
    <mergeCell ref="P11:P14"/>
    <mergeCell ref="W11:W14"/>
    <mergeCell ref="AD11:AD14"/>
    <mergeCell ref="AG11:AG14"/>
    <mergeCell ref="AN11:AN14"/>
    <mergeCell ref="R8:S8"/>
    <mergeCell ref="T8:U8"/>
    <mergeCell ref="V8:X8"/>
    <mergeCell ref="Y8:Z8"/>
    <mergeCell ref="E8:G8"/>
    <mergeCell ref="H8:I8"/>
    <mergeCell ref="J8:K8"/>
    <mergeCell ref="L8:N8"/>
    <mergeCell ref="O8:Q8"/>
    <mergeCell ref="BA11:BA14"/>
    <mergeCell ref="AM22:AO22"/>
    <mergeCell ref="AV11:AW14"/>
    <mergeCell ref="AY11:AZ14"/>
    <mergeCell ref="AR11:AR14"/>
    <mergeCell ref="AU11:AU14"/>
    <mergeCell ref="AX11:AX14"/>
    <mergeCell ref="AB11:AC14"/>
    <mergeCell ref="AE11:AF14"/>
    <mergeCell ref="AH11:AI14"/>
    <mergeCell ref="AK7:AL7"/>
    <mergeCell ref="AM7:AO7"/>
    <mergeCell ref="AP7:AQ7"/>
    <mergeCell ref="AR7:AS7"/>
    <mergeCell ref="AT7:AV7"/>
    <mergeCell ref="AK8:AL8"/>
    <mergeCell ref="AM8:AO8"/>
    <mergeCell ref="AP8:AQ8"/>
    <mergeCell ref="AR8:AS8"/>
    <mergeCell ref="AT8:AV8"/>
    <mergeCell ref="AW8:AY8"/>
    <mergeCell ref="AP22:AQ22"/>
    <mergeCell ref="AR22:AS22"/>
    <mergeCell ref="AT22:AV22"/>
    <mergeCell ref="J18:K18"/>
    <mergeCell ref="L18:N18"/>
    <mergeCell ref="AK18:AL18"/>
    <mergeCell ref="AM18:AO18"/>
    <mergeCell ref="AA18:AB18"/>
    <mergeCell ref="AC18:AE18"/>
    <mergeCell ref="AF18:AH18"/>
    <mergeCell ref="AI18:AJ18"/>
    <mergeCell ref="AR18:AS18"/>
    <mergeCell ref="O18:Q18"/>
    <mergeCell ref="R18:S18"/>
    <mergeCell ref="T18:U18"/>
    <mergeCell ref="V18:X18"/>
    <mergeCell ref="Y18:Z18"/>
    <mergeCell ref="AI19:AJ19"/>
    <mergeCell ref="AF19:AH19"/>
    <mergeCell ref="AC19:AE19"/>
    <mergeCell ref="AA19:AB19"/>
    <mergeCell ref="Y19:Z19"/>
    <mergeCell ref="AI20:AJ20"/>
    <mergeCell ref="O22:Q22"/>
    <mergeCell ref="AW23:AY23"/>
    <mergeCell ref="AZ23:BA23"/>
    <mergeCell ref="AK24:AL24"/>
    <mergeCell ref="AM24:AO24"/>
    <mergeCell ref="AP24:AQ24"/>
    <mergeCell ref="AR24:AS24"/>
    <mergeCell ref="AT24:AV24"/>
    <mergeCell ref="AW24:AY24"/>
    <mergeCell ref="AZ24:BA24"/>
    <mergeCell ref="AK23:AL23"/>
    <mergeCell ref="AM23:AO23"/>
    <mergeCell ref="AP23:AQ23"/>
    <mergeCell ref="AR23:AS23"/>
    <mergeCell ref="AT23:AV23"/>
    <mergeCell ref="AW22:AY22"/>
    <mergeCell ref="AZ22:BA22"/>
    <mergeCell ref="AK21:AL21"/>
    <mergeCell ref="AM21:AO21"/>
    <mergeCell ref="AP21:AQ21"/>
    <mergeCell ref="AR21:AS21"/>
    <mergeCell ref="AT21:AV21"/>
    <mergeCell ref="AW19:AY19"/>
    <mergeCell ref="AZ19:BA19"/>
    <mergeCell ref="AK20:AL20"/>
    <mergeCell ref="AM20:AO20"/>
    <mergeCell ref="AP20:AQ20"/>
    <mergeCell ref="AR20:AS20"/>
    <mergeCell ref="AT20:AV20"/>
    <mergeCell ref="AW20:AY20"/>
    <mergeCell ref="AZ20:BA20"/>
    <mergeCell ref="AK19:AL19"/>
    <mergeCell ref="AM19:AO19"/>
    <mergeCell ref="AP19:AQ19"/>
    <mergeCell ref="AR19:AS19"/>
    <mergeCell ref="AT19:AV19"/>
    <mergeCell ref="AW21:AY21"/>
    <mergeCell ref="AZ21:BA21"/>
    <mergeCell ref="AK22:AL22"/>
    <mergeCell ref="Y23:Z23"/>
    <mergeCell ref="AF20:AH20"/>
    <mergeCell ref="AC20:AE20"/>
    <mergeCell ref="AA20:AB20"/>
    <mergeCell ref="Y20:Z20"/>
    <mergeCell ref="AI21:AJ21"/>
    <mergeCell ref="AF21:AH21"/>
    <mergeCell ref="AC21:AE21"/>
    <mergeCell ref="AA21:AB21"/>
    <mergeCell ref="Y21:Z21"/>
    <mergeCell ref="V23:X23"/>
    <mergeCell ref="AI24:AJ24"/>
    <mergeCell ref="AF24:AH24"/>
    <mergeCell ref="AC24:AE24"/>
    <mergeCell ref="AA24:AB24"/>
    <mergeCell ref="Y24:Z24"/>
    <mergeCell ref="R23:S23"/>
    <mergeCell ref="R24:S24"/>
    <mergeCell ref="T19:U19"/>
    <mergeCell ref="T20:U20"/>
    <mergeCell ref="T21:U21"/>
    <mergeCell ref="T22:U22"/>
    <mergeCell ref="T23:U23"/>
    <mergeCell ref="T24:U24"/>
    <mergeCell ref="V24:X24"/>
    <mergeCell ref="AI22:AJ22"/>
    <mergeCell ref="AF22:AH22"/>
    <mergeCell ref="AC22:AE22"/>
    <mergeCell ref="AA22:AB22"/>
    <mergeCell ref="Y22:Z22"/>
    <mergeCell ref="AI23:AJ23"/>
    <mergeCell ref="AF23:AH23"/>
    <mergeCell ref="AC23:AE23"/>
    <mergeCell ref="AA23:AB23"/>
    <mergeCell ref="O23:Q23"/>
    <mergeCell ref="O24:Q24"/>
    <mergeCell ref="C24:D24"/>
    <mergeCell ref="E24:G24"/>
    <mergeCell ref="H24:I24"/>
    <mergeCell ref="J24:K24"/>
    <mergeCell ref="L24:N24"/>
    <mergeCell ref="C19:D19"/>
    <mergeCell ref="E19:G19"/>
    <mergeCell ref="C20:D20"/>
    <mergeCell ref="E20:G20"/>
    <mergeCell ref="C21:D21"/>
    <mergeCell ref="E21:G21"/>
    <mergeCell ref="C22:D22"/>
    <mergeCell ref="E22:G22"/>
    <mergeCell ref="C23:D23"/>
    <mergeCell ref="E23:G23"/>
    <mergeCell ref="L23:N23"/>
    <mergeCell ref="H19:I19"/>
    <mergeCell ref="J19:K19"/>
    <mergeCell ref="H20:I20"/>
    <mergeCell ref="J20:K20"/>
    <mergeCell ref="H21:I21"/>
    <mergeCell ref="J21:K21"/>
    <mergeCell ref="AW15:AY15"/>
    <mergeCell ref="AZ15:BA15"/>
    <mergeCell ref="B16:BB16"/>
    <mergeCell ref="B10:BB10"/>
    <mergeCell ref="BB11:BB15"/>
    <mergeCell ref="B11:B15"/>
    <mergeCell ref="C11:C14"/>
    <mergeCell ref="I11:I14"/>
    <mergeCell ref="J11:J14"/>
    <mergeCell ref="S11:S14"/>
    <mergeCell ref="T11:T14"/>
    <mergeCell ref="Z11:Z14"/>
    <mergeCell ref="AA11:AA14"/>
    <mergeCell ref="AJ11:AJ14"/>
    <mergeCell ref="AK11:AK14"/>
    <mergeCell ref="AQ11:AQ14"/>
    <mergeCell ref="AK15:AL15"/>
    <mergeCell ref="AM15:AO15"/>
    <mergeCell ref="AP15:AQ15"/>
    <mergeCell ref="AR15:AS15"/>
    <mergeCell ref="AT15:AV15"/>
    <mergeCell ref="AL11:AM14"/>
    <mergeCell ref="AO11:AP14"/>
    <mergeCell ref="AS11:AT14"/>
    <mergeCell ref="C6:D6"/>
    <mergeCell ref="E6:G6"/>
    <mergeCell ref="H6:I6"/>
    <mergeCell ref="E7:G7"/>
    <mergeCell ref="H7:I7"/>
    <mergeCell ref="C15:D15"/>
    <mergeCell ref="E15:G15"/>
    <mergeCell ref="H15:I15"/>
    <mergeCell ref="K11:L14"/>
    <mergeCell ref="J15:K15"/>
    <mergeCell ref="L15:N15"/>
    <mergeCell ref="N11:O14"/>
    <mergeCell ref="O15:Q15"/>
    <mergeCell ref="Q11:R14"/>
    <mergeCell ref="R15:S15"/>
    <mergeCell ref="R7:S7"/>
    <mergeCell ref="C7:D7"/>
    <mergeCell ref="R6:S6"/>
    <mergeCell ref="L7:N7"/>
    <mergeCell ref="O7:Q7"/>
    <mergeCell ref="R22:S22"/>
    <mergeCell ref="Y15:Z15"/>
    <mergeCell ref="AA15:AB15"/>
    <mergeCell ref="AC15:AE15"/>
    <mergeCell ref="AF15:AH15"/>
    <mergeCell ref="T3:U3"/>
    <mergeCell ref="V3:X3"/>
    <mergeCell ref="V22:X22"/>
    <mergeCell ref="V21:X21"/>
    <mergeCell ref="V20:X20"/>
    <mergeCell ref="V19:X19"/>
    <mergeCell ref="T15:U15"/>
    <mergeCell ref="V15:X15"/>
    <mergeCell ref="Y3:Z3"/>
    <mergeCell ref="Y4:Z4"/>
    <mergeCell ref="U11:V14"/>
    <mergeCell ref="X11:Y14"/>
    <mergeCell ref="T7:U7"/>
    <mergeCell ref="T6:U6"/>
    <mergeCell ref="V6:X6"/>
    <mergeCell ref="H18:I18"/>
    <mergeCell ref="C18:D18"/>
    <mergeCell ref="E18:G18"/>
    <mergeCell ref="H22:I22"/>
    <mergeCell ref="J22:K22"/>
    <mergeCell ref="H23:I23"/>
    <mergeCell ref="J23:K23"/>
    <mergeCell ref="L19:N19"/>
    <mergeCell ref="G11:H14"/>
    <mergeCell ref="D11:E14"/>
    <mergeCell ref="L20:N20"/>
    <mergeCell ref="L21:N21"/>
    <mergeCell ref="L22:N22"/>
    <mergeCell ref="O19:Q19"/>
    <mergeCell ref="O20:Q20"/>
    <mergeCell ref="O21:Q21"/>
    <mergeCell ref="AF5:AH5"/>
    <mergeCell ref="AI5:AJ5"/>
    <mergeCell ref="AF6:AH6"/>
    <mergeCell ref="AI6:AJ6"/>
    <mergeCell ref="AF8:AH8"/>
    <mergeCell ref="AI8:AJ8"/>
    <mergeCell ref="R19:S19"/>
    <mergeCell ref="R20:S20"/>
    <mergeCell ref="R21:S21"/>
    <mergeCell ref="AI15:AJ15"/>
    <mergeCell ref="C3:D3"/>
    <mergeCell ref="E3:G3"/>
    <mergeCell ref="H3:I3"/>
    <mergeCell ref="J3:K3"/>
    <mergeCell ref="L3:N3"/>
    <mergeCell ref="O3:Q3"/>
    <mergeCell ref="R3:S3"/>
    <mergeCell ref="AK4:AL4"/>
    <mergeCell ref="AM4:AO4"/>
    <mergeCell ref="C4:D4"/>
    <mergeCell ref="E4:G4"/>
    <mergeCell ref="H4:I4"/>
    <mergeCell ref="J4:K4"/>
    <mergeCell ref="L4:N4"/>
    <mergeCell ref="O4:Q4"/>
    <mergeCell ref="R4:S4"/>
    <mergeCell ref="T4:U4"/>
    <mergeCell ref="V4:X4"/>
    <mergeCell ref="AP4:AQ4"/>
    <mergeCell ref="AR4:AS4"/>
    <mergeCell ref="AT4:AV4"/>
    <mergeCell ref="AW4:AY4"/>
    <mergeCell ref="AZ4:BA4"/>
    <mergeCell ref="AA3:AB3"/>
    <mergeCell ref="AC3:AE3"/>
    <mergeCell ref="AF3:AH3"/>
    <mergeCell ref="AI3:AJ3"/>
    <mergeCell ref="AK3:AL3"/>
    <mergeCell ref="AM3:AO3"/>
    <mergeCell ref="AP3:AQ3"/>
    <mergeCell ref="AR3:AS3"/>
    <mergeCell ref="AT3:AV3"/>
    <mergeCell ref="AA4:AB4"/>
    <mergeCell ref="AC4:AE4"/>
    <mergeCell ref="AF4:AH4"/>
    <mergeCell ref="AI4:AJ4"/>
    <mergeCell ref="AK5:AL5"/>
    <mergeCell ref="AM5:AO5"/>
    <mergeCell ref="AP5:AQ5"/>
    <mergeCell ref="AR5:AS5"/>
    <mergeCell ref="AT5:AV5"/>
    <mergeCell ref="AW5:AY5"/>
    <mergeCell ref="AZ5:BA5"/>
    <mergeCell ref="AK6:AL6"/>
    <mergeCell ref="AM6:AO6"/>
    <mergeCell ref="AP6:AQ6"/>
    <mergeCell ref="AR6:AS6"/>
    <mergeCell ref="AT6:AV6"/>
    <mergeCell ref="AW6:AY6"/>
    <mergeCell ref="AZ6:BA6"/>
    <mergeCell ref="AZ8:BA8"/>
    <mergeCell ref="BB3:BC3"/>
    <mergeCell ref="BB4:BC4"/>
    <mergeCell ref="BB5:BC5"/>
    <mergeCell ref="BB6:BC6"/>
    <mergeCell ref="BB7:BC7"/>
    <mergeCell ref="BB8:BC8"/>
    <mergeCell ref="AW3:AY3"/>
    <mergeCell ref="AZ3:BA3"/>
    <mergeCell ref="C2:D2"/>
    <mergeCell ref="E2:G2"/>
    <mergeCell ref="H2:I2"/>
    <mergeCell ref="J2:K2"/>
    <mergeCell ref="L2:N2"/>
    <mergeCell ref="O2:Q2"/>
    <mergeCell ref="R2:S2"/>
    <mergeCell ref="T2:U2"/>
    <mergeCell ref="V2:X2"/>
    <mergeCell ref="AT2:AV2"/>
    <mergeCell ref="AW2:AY2"/>
    <mergeCell ref="AZ2:BA2"/>
    <mergeCell ref="BB2:BC2"/>
    <mergeCell ref="Y2:Z2"/>
    <mergeCell ref="AA2:AB2"/>
    <mergeCell ref="AC2:AE2"/>
    <mergeCell ref="AF2:AH2"/>
    <mergeCell ref="AI2:AJ2"/>
    <mergeCell ref="AK2:AL2"/>
    <mergeCell ref="AM2:AO2"/>
    <mergeCell ref="AP2:AQ2"/>
    <mergeCell ref="AR2:AS2"/>
  </mergeCells>
  <conditionalFormatting sqref="C19:BA24">
    <cfRule type="expression" dxfId="6" priority="42">
      <formula>OR(C19=$C$6,C19=$E$6,C19=$H$6,C19=$J$6,C19=$L$6,C19=$O$6,C19=$R$6,C19=$T$6,C19=$V$6,C19=$Y$6)</formula>
    </cfRule>
  </conditionalFormatting>
  <conditionalFormatting sqref="C11:BA15">
    <cfRule type="expression" dxfId="5" priority="2">
      <formula>OR(C11=$C$6,,)</formula>
    </cfRule>
    <cfRule type="expression" dxfId="4" priority="5">
      <formula>OR(C11=$E$6,C11=$H$6,C11=$J$6,C11=$L$6,C11=$O$6,C11=$R$6,C11=$T$6,C11=$V$6,C11=$Y$6)</formula>
    </cfRule>
  </conditionalFormatting>
  <conditionalFormatting sqref="C22:BA24">
    <cfRule type="expression" dxfId="3" priority="1">
      <formula>OR(C22=$C$6)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7" r:id="rId4" name="CommandButton11">
          <controlPr defaultSize="0" autoLine="0" r:id="rId5">
            <anchor moveWithCells="1">
              <from>
                <xdr:col>28</xdr:col>
                <xdr:colOff>68580</xdr:colOff>
                <xdr:row>2</xdr:row>
                <xdr:rowOff>0</xdr:rowOff>
              </from>
              <to>
                <xdr:col>32</xdr:col>
                <xdr:colOff>45720</xdr:colOff>
                <xdr:row>3</xdr:row>
                <xdr:rowOff>106680</xdr:rowOff>
              </to>
            </anchor>
          </controlPr>
        </control>
      </mc:Choice>
      <mc:Fallback>
        <control shapeId="1077" r:id="rId4" name="CommandButton11"/>
      </mc:Fallback>
    </mc:AlternateContent>
    <mc:AlternateContent xmlns:mc="http://schemas.openxmlformats.org/markup-compatibility/2006">
      <mc:Choice Requires="x14">
        <control shapeId="1049" r:id="rId6" name="CommandButton1">
          <controlPr defaultSize="0" autoLine="0" altText="" r:id="rId7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99060</xdr:colOff>
                <xdr:row>3</xdr:row>
                <xdr:rowOff>106680</xdr:rowOff>
              </to>
            </anchor>
          </controlPr>
        </control>
      </mc:Choice>
      <mc:Fallback>
        <control shapeId="1049" r:id="rId6" name="CommandButton1"/>
      </mc:Fallback>
    </mc:AlternateContent>
    <mc:AlternateContent xmlns:mc="http://schemas.openxmlformats.org/markup-compatibility/2006">
      <mc:Choice Requires="x14">
        <control shapeId="1050" r:id="rId8" name="CommandButton2">
          <controlPr defaultSize="0" autoLine="0" r:id="rId9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99060</xdr:colOff>
                <xdr:row>3</xdr:row>
                <xdr:rowOff>106680</xdr:rowOff>
              </to>
            </anchor>
          </controlPr>
        </control>
      </mc:Choice>
      <mc:Fallback>
        <control shapeId="1050" r:id="rId8" name="CommandButton2"/>
      </mc:Fallback>
    </mc:AlternateContent>
    <mc:AlternateContent xmlns:mc="http://schemas.openxmlformats.org/markup-compatibility/2006">
      <mc:Choice Requires="x14">
        <control shapeId="1051" r:id="rId10" name="CommandButton3">
          <controlPr defaultSize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175260</xdr:colOff>
                <xdr:row>3</xdr:row>
                <xdr:rowOff>106680</xdr:rowOff>
              </to>
            </anchor>
          </controlPr>
        </control>
      </mc:Choice>
      <mc:Fallback>
        <control shapeId="1051" r:id="rId10" name="CommandButton3"/>
      </mc:Fallback>
    </mc:AlternateContent>
    <mc:AlternateContent xmlns:mc="http://schemas.openxmlformats.org/markup-compatibility/2006">
      <mc:Choice Requires="x14">
        <control shapeId="1052" r:id="rId12" name="CommandButton4">
          <controlPr defaultSize="0" autoLine="0" r:id="rId13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10</xdr:col>
                <xdr:colOff>99060</xdr:colOff>
                <xdr:row>3</xdr:row>
                <xdr:rowOff>106680</xdr:rowOff>
              </to>
            </anchor>
          </controlPr>
        </control>
      </mc:Choice>
      <mc:Fallback>
        <control shapeId="1052" r:id="rId12" name="CommandButton4"/>
      </mc:Fallback>
    </mc:AlternateContent>
    <mc:AlternateContent xmlns:mc="http://schemas.openxmlformats.org/markup-compatibility/2006">
      <mc:Choice Requires="x14">
        <control shapeId="1053" r:id="rId14" name="CommandButton5">
          <controlPr defaultSize="0" autoLine="0" r:id="rId15">
            <anchor moveWithCells="1">
              <from>
                <xdr:col>11</xdr:col>
                <xdr:colOff>0</xdr:colOff>
                <xdr:row>2</xdr:row>
                <xdr:rowOff>0</xdr:rowOff>
              </from>
              <to>
                <xdr:col>13</xdr:col>
                <xdr:colOff>99060</xdr:colOff>
                <xdr:row>3</xdr:row>
                <xdr:rowOff>106680</xdr:rowOff>
              </to>
            </anchor>
          </controlPr>
        </control>
      </mc:Choice>
      <mc:Fallback>
        <control shapeId="1053" r:id="rId14" name="CommandButton5"/>
      </mc:Fallback>
    </mc:AlternateContent>
    <mc:AlternateContent xmlns:mc="http://schemas.openxmlformats.org/markup-compatibility/2006">
      <mc:Choice Requires="x14">
        <control shapeId="1054" r:id="rId16" name="CommandButton6">
          <controlPr defaultSize="0" autoLine="0" r:id="rId17">
            <anchor moveWithCells="1">
              <from>
                <xdr:col>14</xdr:col>
                <xdr:colOff>0</xdr:colOff>
                <xdr:row>2</xdr:row>
                <xdr:rowOff>0</xdr:rowOff>
              </from>
              <to>
                <xdr:col>16</xdr:col>
                <xdr:colOff>99060</xdr:colOff>
                <xdr:row>3</xdr:row>
                <xdr:rowOff>106680</xdr:rowOff>
              </to>
            </anchor>
          </controlPr>
        </control>
      </mc:Choice>
      <mc:Fallback>
        <control shapeId="1054" r:id="rId16" name="CommandButton6"/>
      </mc:Fallback>
    </mc:AlternateContent>
    <mc:AlternateContent xmlns:mc="http://schemas.openxmlformats.org/markup-compatibility/2006">
      <mc:Choice Requires="x14">
        <control shapeId="1055" r:id="rId18" name="CommandButton7">
          <controlPr defaultSize="0" autoLine="0" r:id="rId19">
            <anchor moveWithCells="1">
              <from>
                <xdr:col>17</xdr:col>
                <xdr:colOff>0</xdr:colOff>
                <xdr:row>2</xdr:row>
                <xdr:rowOff>0</xdr:rowOff>
              </from>
              <to>
                <xdr:col>18</xdr:col>
                <xdr:colOff>175260</xdr:colOff>
                <xdr:row>3</xdr:row>
                <xdr:rowOff>106680</xdr:rowOff>
              </to>
            </anchor>
          </controlPr>
        </control>
      </mc:Choice>
      <mc:Fallback>
        <control shapeId="1055" r:id="rId18" name="CommandButton7"/>
      </mc:Fallback>
    </mc:AlternateContent>
    <mc:AlternateContent xmlns:mc="http://schemas.openxmlformats.org/markup-compatibility/2006">
      <mc:Choice Requires="x14">
        <control shapeId="1064" r:id="rId20" name="CommandButton8">
          <controlPr defaultSize="0" autoLine="0" r:id="rId21">
            <anchor moveWithCells="1">
              <from>
                <xdr:col>19</xdr:col>
                <xdr:colOff>68580</xdr:colOff>
                <xdr:row>2</xdr:row>
                <xdr:rowOff>0</xdr:rowOff>
              </from>
              <to>
                <xdr:col>21</xdr:col>
                <xdr:colOff>53340</xdr:colOff>
                <xdr:row>3</xdr:row>
                <xdr:rowOff>106680</xdr:rowOff>
              </to>
            </anchor>
          </controlPr>
        </control>
      </mc:Choice>
      <mc:Fallback>
        <control shapeId="1064" r:id="rId20" name="CommandButton8"/>
      </mc:Fallback>
    </mc:AlternateContent>
    <mc:AlternateContent xmlns:mc="http://schemas.openxmlformats.org/markup-compatibility/2006">
      <mc:Choice Requires="x14">
        <control shapeId="1075" r:id="rId22" name="CommandButton9">
          <controlPr defaultSize="0" autoLine="0" r:id="rId23">
            <anchor moveWithCells="1">
              <from>
                <xdr:col>24</xdr:col>
                <xdr:colOff>68580</xdr:colOff>
                <xdr:row>2</xdr:row>
                <xdr:rowOff>0</xdr:rowOff>
              </from>
              <to>
                <xdr:col>26</xdr:col>
                <xdr:colOff>53340</xdr:colOff>
                <xdr:row>3</xdr:row>
                <xdr:rowOff>106680</xdr:rowOff>
              </to>
            </anchor>
          </controlPr>
        </control>
      </mc:Choice>
      <mc:Fallback>
        <control shapeId="1075" r:id="rId22" name="CommandButton9"/>
      </mc:Fallback>
    </mc:AlternateContent>
    <mc:AlternateContent xmlns:mc="http://schemas.openxmlformats.org/markup-compatibility/2006">
      <mc:Choice Requires="x14">
        <control shapeId="1076" r:id="rId24" name="CommandButton10">
          <controlPr defaultSize="0" autoLine="0" r:id="rId25">
            <anchor moveWithCells="1">
              <from>
                <xdr:col>26</xdr:col>
                <xdr:colOff>68580</xdr:colOff>
                <xdr:row>2</xdr:row>
                <xdr:rowOff>0</xdr:rowOff>
              </from>
              <to>
                <xdr:col>28</xdr:col>
                <xdr:colOff>53340</xdr:colOff>
                <xdr:row>3</xdr:row>
                <xdr:rowOff>106680</xdr:rowOff>
              </to>
            </anchor>
          </controlPr>
        </control>
      </mc:Choice>
      <mc:Fallback>
        <control shapeId="1076" r:id="rId24" name="CommandButton10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" id="{6696F47E-78B0-4251-A737-83E799A6CC0A}">
            <xm:f>OR(C8=DATA!$C$2,C8=DATA!$C$3,C8=DATA!$C$7,C8=DATA!$C$11,C8=DATA!$C$12)</xm:f>
            <x14:dxf>
              <fill>
                <patternFill>
                  <bgColor theme="4" tint="0.79998168889431442"/>
                </patternFill>
              </fill>
            </x14:dxf>
          </x14:cfRule>
          <x14:cfRule type="expression" priority="47" id="{A8F67503-DCCD-462F-BA17-88F51568F525}">
            <xm:f>OR(C8=DATA!$C$1,C8=DATA!$C$6,C8=DATA!$C$8,C8=DATA!$C$13)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expression" priority="48" id="{8800453D-7E1E-4D06-8A20-57D797B503D6}">
            <xm:f>OR(C8=DATA!$C$4,C8=DATA!$C$5,C8=DATA!$C$9,C8=DATA!$C$10)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m:sqref>C8:AH8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81DF-A0C0-4F74-80D8-68E51AD541CA}">
  <sheetPr codeName="Лист3"/>
  <dimension ref="A1:Z13"/>
  <sheetViews>
    <sheetView zoomScale="167" workbookViewId="0">
      <selection activeCell="A3" sqref="A3"/>
    </sheetView>
  </sheetViews>
  <sheetFormatPr defaultColWidth="0" defaultRowHeight="14.4" zeroHeight="1" x14ac:dyDescent="0.3"/>
  <cols>
    <col min="1" max="1" width="3.109375" style="20" bestFit="1" customWidth="1"/>
    <col min="2" max="8" width="8.88671875" customWidth="1"/>
    <col min="9" max="26" width="0" hidden="1" customWidth="1"/>
    <col min="27" max="16384" width="8.88671875" hidden="1"/>
  </cols>
  <sheetData>
    <row r="1" spans="1:8" x14ac:dyDescent="0.3">
      <c r="A1" s="17" t="s">
        <v>25</v>
      </c>
      <c r="B1" s="10">
        <v>0</v>
      </c>
      <c r="C1" s="10" t="s">
        <v>26</v>
      </c>
      <c r="D1" s="63" t="s">
        <v>0</v>
      </c>
      <c r="E1" s="63"/>
      <c r="F1" s="63" t="s">
        <v>38</v>
      </c>
      <c r="G1" s="63"/>
      <c r="H1" s="63"/>
    </row>
    <row r="2" spans="1:8" x14ac:dyDescent="0.3">
      <c r="A2" s="18" t="s">
        <v>9</v>
      </c>
      <c r="B2" s="14">
        <v>1</v>
      </c>
      <c r="C2" s="14" t="s">
        <v>27</v>
      </c>
      <c r="D2" s="64" t="s">
        <v>24</v>
      </c>
      <c r="E2" s="64"/>
      <c r="F2" s="64" t="s">
        <v>40</v>
      </c>
      <c r="G2" s="64"/>
      <c r="H2" s="64"/>
    </row>
    <row r="3" spans="1:8" x14ac:dyDescent="0.3">
      <c r="A3" s="18" t="s">
        <v>10</v>
      </c>
      <c r="B3" s="11">
        <v>2</v>
      </c>
      <c r="C3" s="11" t="s">
        <v>28</v>
      </c>
      <c r="D3" s="64" t="s">
        <v>4</v>
      </c>
      <c r="E3" s="64"/>
      <c r="F3" s="64" t="s">
        <v>40</v>
      </c>
      <c r="G3" s="64"/>
      <c r="H3" s="64"/>
    </row>
    <row r="4" spans="1:8" x14ac:dyDescent="0.3">
      <c r="A4" s="19" t="s">
        <v>11</v>
      </c>
      <c r="B4" s="12">
        <v>3</v>
      </c>
      <c r="C4" s="12" t="s">
        <v>29</v>
      </c>
      <c r="D4" s="65" t="s">
        <v>22</v>
      </c>
      <c r="E4" s="65"/>
      <c r="F4" s="65" t="s">
        <v>39</v>
      </c>
      <c r="G4" s="65"/>
      <c r="H4" s="65"/>
    </row>
    <row r="5" spans="1:8" x14ac:dyDescent="0.3">
      <c r="A5" s="19" t="s">
        <v>12</v>
      </c>
      <c r="B5" s="12">
        <v>4</v>
      </c>
      <c r="C5" s="12" t="s">
        <v>30</v>
      </c>
      <c r="D5" s="65" t="s">
        <v>23</v>
      </c>
      <c r="E5" s="65"/>
      <c r="F5" s="65" t="s">
        <v>39</v>
      </c>
      <c r="G5" s="65"/>
      <c r="H5" s="65"/>
    </row>
    <row r="6" spans="1:8" x14ac:dyDescent="0.3">
      <c r="A6" s="17" t="s">
        <v>13</v>
      </c>
      <c r="B6" s="10">
        <v>5</v>
      </c>
      <c r="C6" s="10" t="s">
        <v>31</v>
      </c>
      <c r="D6" s="63" t="s">
        <v>1</v>
      </c>
      <c r="E6" s="63"/>
      <c r="F6" s="63" t="s">
        <v>38</v>
      </c>
      <c r="G6" s="63"/>
      <c r="H6" s="63"/>
    </row>
    <row r="7" spans="1:8" x14ac:dyDescent="0.3">
      <c r="A7" s="18" t="s">
        <v>15</v>
      </c>
      <c r="B7" s="11">
        <v>6</v>
      </c>
      <c r="C7" s="13" t="s">
        <v>41</v>
      </c>
      <c r="D7" s="64" t="s">
        <v>20</v>
      </c>
      <c r="E7" s="64"/>
      <c r="F7" s="64" t="s">
        <v>40</v>
      </c>
      <c r="G7" s="64"/>
      <c r="H7" s="64"/>
    </row>
    <row r="8" spans="1:8" x14ac:dyDescent="0.3">
      <c r="A8" s="17" t="s">
        <v>14</v>
      </c>
      <c r="B8" s="10">
        <v>7</v>
      </c>
      <c r="C8" s="10" t="s">
        <v>32</v>
      </c>
      <c r="D8" s="63" t="s">
        <v>2</v>
      </c>
      <c r="E8" s="63"/>
      <c r="F8" s="63" t="s">
        <v>38</v>
      </c>
      <c r="G8" s="63"/>
      <c r="H8" s="63"/>
    </row>
    <row r="9" spans="1:8" x14ac:dyDescent="0.3">
      <c r="A9" s="19" t="s">
        <v>16</v>
      </c>
      <c r="B9" s="12">
        <v>8</v>
      </c>
      <c r="C9" s="12" t="s">
        <v>33</v>
      </c>
      <c r="D9" s="65" t="s">
        <v>5</v>
      </c>
      <c r="E9" s="65"/>
      <c r="F9" s="65" t="s">
        <v>39</v>
      </c>
      <c r="G9" s="65"/>
      <c r="H9" s="65"/>
    </row>
    <row r="10" spans="1:8" x14ac:dyDescent="0.3">
      <c r="A10" s="19" t="s">
        <v>17</v>
      </c>
      <c r="B10" s="12">
        <v>9</v>
      </c>
      <c r="C10" s="12" t="s">
        <v>35</v>
      </c>
      <c r="D10" s="65" t="s">
        <v>6</v>
      </c>
      <c r="E10" s="65"/>
      <c r="F10" s="65" t="s">
        <v>39</v>
      </c>
      <c r="G10" s="65"/>
      <c r="H10" s="65"/>
    </row>
    <row r="11" spans="1:8" x14ac:dyDescent="0.3">
      <c r="A11" s="18" t="s">
        <v>18</v>
      </c>
      <c r="B11" s="11">
        <v>10</v>
      </c>
      <c r="C11" s="11" t="s">
        <v>36</v>
      </c>
      <c r="D11" s="64" t="s">
        <v>7</v>
      </c>
      <c r="E11" s="64"/>
      <c r="F11" s="64" t="s">
        <v>40</v>
      </c>
      <c r="G11" s="64"/>
      <c r="H11" s="64"/>
    </row>
    <row r="12" spans="1:8" x14ac:dyDescent="0.3">
      <c r="A12" s="18" t="s">
        <v>19</v>
      </c>
      <c r="B12" s="11">
        <v>11</v>
      </c>
      <c r="C12" s="11" t="s">
        <v>34</v>
      </c>
      <c r="D12" s="64" t="s">
        <v>8</v>
      </c>
      <c r="E12" s="64"/>
      <c r="F12" s="64" t="s">
        <v>40</v>
      </c>
      <c r="G12" s="64"/>
      <c r="H12" s="64"/>
    </row>
    <row r="13" spans="1:8" x14ac:dyDescent="0.3">
      <c r="A13" s="17" t="s">
        <v>21</v>
      </c>
      <c r="B13" s="10">
        <v>12</v>
      </c>
      <c r="C13" s="10" t="s">
        <v>37</v>
      </c>
      <c r="D13" s="63" t="s">
        <v>3</v>
      </c>
      <c r="E13" s="63"/>
      <c r="F13" s="63" t="s">
        <v>38</v>
      </c>
      <c r="G13" s="63"/>
      <c r="H13" s="63"/>
    </row>
  </sheetData>
  <mergeCells count="26">
    <mergeCell ref="F7:H7"/>
    <mergeCell ref="F8:H8"/>
    <mergeCell ref="F9:H9"/>
    <mergeCell ref="F10:H10"/>
    <mergeCell ref="F11:H11"/>
    <mergeCell ref="D8:E8"/>
    <mergeCell ref="D9:E9"/>
    <mergeCell ref="D10:E10"/>
    <mergeCell ref="D11:E11"/>
    <mergeCell ref="D12:E12"/>
    <mergeCell ref="D13:E13"/>
    <mergeCell ref="F13:H13"/>
    <mergeCell ref="D6:E6"/>
    <mergeCell ref="F1:H1"/>
    <mergeCell ref="F2:H2"/>
    <mergeCell ref="F3:H3"/>
    <mergeCell ref="F4:H4"/>
    <mergeCell ref="F5:H5"/>
    <mergeCell ref="F6:H6"/>
    <mergeCell ref="D1:E1"/>
    <mergeCell ref="D2:E2"/>
    <mergeCell ref="D3:E3"/>
    <mergeCell ref="D4:E4"/>
    <mergeCell ref="D5:E5"/>
    <mergeCell ref="F12:H12"/>
    <mergeCell ref="D7:E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ChordsGenerator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Максим Муковин</cp:lastModifiedBy>
  <dcterms:created xsi:type="dcterms:W3CDTF">2015-06-05T18:19:34Z</dcterms:created>
  <dcterms:modified xsi:type="dcterms:W3CDTF">2022-02-05T14:32:58Z</dcterms:modified>
</cp:coreProperties>
</file>